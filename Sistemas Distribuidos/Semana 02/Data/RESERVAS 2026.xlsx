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Empresa travesia natural\ADM 2026\"/>
    </mc:Choice>
  </mc:AlternateContent>
  <xr:revisionPtr revIDLastSave="0" documentId="13_ncr:1_{33A29EE4-22DB-4EF7-9C7F-BEB71428253F}" xr6:coauthVersionLast="47" xr6:coauthVersionMax="47" xr10:uidLastSave="{00000000-0000-0000-0000-000000000000}"/>
  <bookViews>
    <workbookView xWindow="-110" yWindow="-110" windowWidth="19420" windowHeight="10300" xr2:uid="{944E12B3-D7B7-4C0D-9DA5-E429F05C0CB2}"/>
  </bookViews>
  <sheets>
    <sheet name="ENERO" sheetId="1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33" i="11" l="1"/>
  <c r="H33" i="11" l="1"/>
  <c r="I32" i="11" s="1"/>
  <c r="H31" i="11"/>
  <c r="F31" i="11"/>
  <c r="E31" i="11"/>
  <c r="G19" i="11"/>
  <c r="I30" i="11" l="1"/>
  <c r="E8" i="11"/>
  <c r="I7" i="11" s="1"/>
  <c r="I24" i="11"/>
  <c r="I13" i="11"/>
  <c r="I4" i="11"/>
  <c r="I21" i="11"/>
  <c r="I17" i="11"/>
  <c r="I10" i="11"/>
  <c r="I41" i="11" l="1"/>
</calcChain>
</file>

<file path=xl/sharedStrings.xml><?xml version="1.0" encoding="utf-8"?>
<sst xmlns="http://schemas.openxmlformats.org/spreadsheetml/2006/main" count="67" uniqueCount="39">
  <si>
    <t>nombre de turista</t>
  </si>
  <si>
    <t>cant de personas</t>
  </si>
  <si>
    <t>atractivo</t>
  </si>
  <si>
    <t xml:space="preserve">alimentacion </t>
  </si>
  <si>
    <t>hospedaje</t>
  </si>
  <si>
    <t>TOTAL</t>
  </si>
  <si>
    <t>N/A</t>
  </si>
  <si>
    <t>N. DE RESERVAS</t>
  </si>
  <si>
    <t xml:space="preserve">FECHA </t>
  </si>
  <si>
    <t>Transporte</t>
  </si>
  <si>
    <t>SI</t>
  </si>
  <si>
    <t>Familia 6</t>
  </si>
  <si>
    <t>Andres</t>
  </si>
  <si>
    <t>SEÑORA JURADO</t>
  </si>
  <si>
    <t>TRONERA  100.000</t>
  </si>
  <si>
    <t>WILLIAN</t>
  </si>
  <si>
    <t>CESAR</t>
  </si>
  <si>
    <t>JHON</t>
  </si>
  <si>
    <t xml:space="preserve">PANDORA   180.000    </t>
  </si>
  <si>
    <t>hostal san felipe</t>
  </si>
  <si>
    <t>RESTAURANTE MIRIAM</t>
  </si>
  <si>
    <t>HOTEL SAN FELIPE</t>
  </si>
  <si>
    <t>HOTEL SAN FELIE</t>
  </si>
  <si>
    <t xml:space="preserve">PANAMA   100.000    ORO       120.OOO    </t>
  </si>
  <si>
    <t>PANDORA   180.000    TRONERA   160.000</t>
  </si>
  <si>
    <t xml:space="preserve">CERRO     160.000      ORO       240.000    PANDORA   360.000      </t>
  </si>
  <si>
    <t xml:space="preserve"> TRONERA   340.000    JACOBINO  280.000  </t>
  </si>
  <si>
    <t xml:space="preserve">CERRO     240.000        PANDORA   260.000    TRONERA   200.000  </t>
  </si>
  <si>
    <t>INGRI</t>
  </si>
  <si>
    <t>HOSTAL SAN FELIPE</t>
  </si>
  <si>
    <t xml:space="preserve">PANDORA  180.000    CERRO      100.000    ORO       140.000   </t>
  </si>
  <si>
    <t>LABERINTO DE GIGANTES 240.000</t>
  </si>
  <si>
    <t>HOTEL SAN FELIPE 140.000</t>
  </si>
  <si>
    <t>HOTEL SAN FELIPE 70.000</t>
  </si>
  <si>
    <t>POPE-GILBY</t>
  </si>
  <si>
    <t>PANDORA 90.000</t>
  </si>
  <si>
    <t>Antonio</t>
  </si>
  <si>
    <t>ORO 70.000
BROMELIAS 70.000</t>
  </si>
  <si>
    <t>DESCENSO TRONERA 350.000
CAMINATA TRONERA 100.000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</si>
</sst>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/>
    <xf numFmtId="0" fontId="0" fillId="0" borderId="0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64" fontId="0" fillId="0" borderId="0" xfId="0" applyNumberFormat="1"/>
    <xf numFmtId="164" fontId="0" fillId="0" borderId="0" xfId="0" applyNumberForma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14" fontId="0" fillId="0" borderId="0" xfId="0" applyNumberFormat="1" applyBorder="1" applyAlignment="1">
      <alignment horizontal="center" vertical="center" wrapText="1"/>
    </xf>
    <xf numFmtId="164" fontId="0" fillId="0" borderId="0" xfId="0" applyNumberForma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  <xf numFmtId="0" fontId="1" fillId="4" borderId="1" xfId="3" applyBorder="1" applyAlignment="1">
      <alignment horizontal="center" vertical="center" wrapText="1"/>
    </xf>
    <xf numFmtId="164" fontId="1" fillId="4" borderId="1" xfId="3" applyNumberForma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164" fontId="2" fillId="2" borderId="1" xfId="1" applyNumberFormat="1" applyBorder="1"/>
    <xf numFmtId="0" fontId="0" fillId="0" borderId="0" xfId="0" applyAlignment="1">
      <alignment horizontal="center"/>
    </xf>
    <xf numFmtId="164" fontId="0" fillId="0" borderId="1" xfId="0" applyNumberFormat="1" applyBorder="1" applyAlignment="1">
      <alignment horizontal="center" vertical="center" wrapText="1"/>
    </xf>
    <xf numFmtId="164" fontId="0" fillId="0" borderId="1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4" fontId="0" fillId="5" borderId="2" xfId="0" applyNumberFormat="1" applyFill="1" applyBorder="1" applyAlignment="1">
      <alignment horizontal="center" vertical="center" wrapText="1"/>
    </xf>
    <xf numFmtId="164" fontId="0" fillId="5" borderId="3" xfId="0" applyNumberFormat="1" applyFill="1" applyBorder="1" applyAlignment="1">
      <alignment horizontal="center" vertical="center" wrapText="1"/>
    </xf>
    <xf numFmtId="164" fontId="0" fillId="6" borderId="1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64" fontId="1" fillId="3" borderId="1" xfId="2" applyNumberFormat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164" fontId="1" fillId="3" borderId="2" xfId="2" applyNumberFormat="1" applyBorder="1" applyAlignment="1">
      <alignment horizontal="center" vertical="center" wrapText="1"/>
    </xf>
    <xf numFmtId="164" fontId="1" fillId="3" borderId="3" xfId="2" applyNumberFormat="1" applyBorder="1" applyAlignment="1">
      <alignment horizontal="center" vertical="center" wrapText="1"/>
    </xf>
    <xf numFmtId="164" fontId="1" fillId="3" borderId="4" xfId="2" applyNumberFormat="1" applyBorder="1" applyAlignment="1">
      <alignment horizontal="center" vertical="center" wrapText="1"/>
    </xf>
  </cellXfs>
  <cellStyles count="4">
    <cellStyle name="20% - Énfasis1" xfId="2" builtinId="30"/>
    <cellStyle name="40% - Énfasis1" xfId="3" builtinId="31"/>
    <cellStyle name="Énfasis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BE806-8671-4F2F-B29B-52FA4726761C}">
  <dimension ref="A1:L49"/>
  <sheetViews>
    <sheetView tabSelected="1" zoomScale="57" workbookViewId="0">
      <pane ySplit="1" topLeftCell="A2" activePane="bottomLeft" state="frozen"/>
      <selection pane="bottomLeft" activeCell="E4" sqref="E4"/>
    </sheetView>
  </sheetViews>
  <sheetFormatPr baseColWidth="10" defaultRowHeight="14.5" x14ac:dyDescent="0.35"/>
  <cols>
    <col min="5" max="5" width="13.08984375" style="19" bestFit="1" customWidth="1"/>
    <col min="6" max="6" width="13.08984375" customWidth="1"/>
    <col min="7" max="7" width="11.54296875" bestFit="1" customWidth="1"/>
    <col min="9" max="9" width="12.26953125" style="7" bestFit="1" customWidth="1"/>
  </cols>
  <sheetData>
    <row r="1" spans="1:11" ht="29" x14ac:dyDescent="0.35">
      <c r="A1" s="15" t="s">
        <v>7</v>
      </c>
      <c r="B1" s="15" t="s">
        <v>0</v>
      </c>
      <c r="C1" s="15" t="s">
        <v>1</v>
      </c>
      <c r="D1" s="15" t="s">
        <v>8</v>
      </c>
      <c r="E1" s="15" t="s">
        <v>2</v>
      </c>
      <c r="F1" s="15" t="s">
        <v>3</v>
      </c>
      <c r="G1" s="15" t="s">
        <v>4</v>
      </c>
      <c r="H1" s="15" t="s">
        <v>9</v>
      </c>
      <c r="I1" s="16" t="s">
        <v>5</v>
      </c>
    </row>
    <row r="3" spans="1:11" s="1" customFormat="1" x14ac:dyDescent="0.35">
      <c r="A3" s="10"/>
      <c r="B3" s="10"/>
      <c r="C3" s="10"/>
      <c r="D3" s="11"/>
      <c r="E3" s="10"/>
      <c r="F3" s="10"/>
      <c r="G3" s="10"/>
      <c r="H3" s="10"/>
      <c r="I3" s="12"/>
    </row>
    <row r="4" spans="1:11" s="13" customFormat="1" ht="104" customHeight="1" x14ac:dyDescent="0.35">
      <c r="A4" s="4">
        <v>69</v>
      </c>
      <c r="B4" s="4" t="s">
        <v>11</v>
      </c>
      <c r="C4" s="4">
        <v>2</v>
      </c>
      <c r="D4" s="6">
        <v>46029</v>
      </c>
      <c r="E4" s="4" t="s">
        <v>27</v>
      </c>
      <c r="F4" s="4" t="s">
        <v>20</v>
      </c>
      <c r="G4" s="4" t="s">
        <v>19</v>
      </c>
      <c r="H4" s="4" t="s">
        <v>6</v>
      </c>
      <c r="I4" s="33">
        <f>SUM(E5:H5)</f>
        <v>700000</v>
      </c>
    </row>
    <row r="5" spans="1:11" s="13" customFormat="1" ht="18.5" customHeight="1" x14ac:dyDescent="0.35">
      <c r="A5" s="4"/>
      <c r="B5" s="4"/>
      <c r="C5" s="4"/>
      <c r="D5" s="6"/>
      <c r="E5" s="17">
        <v>700000</v>
      </c>
      <c r="F5" s="4"/>
      <c r="G5" s="4"/>
      <c r="H5" s="4"/>
      <c r="I5" s="34"/>
    </row>
    <row r="6" spans="1:11" s="13" customFormat="1" ht="22" customHeight="1" x14ac:dyDescent="0.35">
      <c r="A6" s="1"/>
      <c r="B6" s="1"/>
      <c r="C6" s="1"/>
      <c r="D6" s="9"/>
      <c r="E6" s="1"/>
      <c r="F6" s="1"/>
      <c r="G6" s="1"/>
      <c r="H6" s="1"/>
      <c r="I6" s="8"/>
    </row>
    <row r="7" spans="1:11" s="1" customFormat="1" ht="86" customHeight="1" x14ac:dyDescent="0.35">
      <c r="A7" s="4">
        <v>70</v>
      </c>
      <c r="B7" s="4" t="s">
        <v>12</v>
      </c>
      <c r="C7" s="4">
        <v>2</v>
      </c>
      <c r="D7" s="6">
        <v>46029</v>
      </c>
      <c r="E7" s="4" t="s">
        <v>30</v>
      </c>
      <c r="F7" s="4" t="s">
        <v>20</v>
      </c>
      <c r="G7" s="4" t="s">
        <v>21</v>
      </c>
      <c r="H7" s="4" t="s">
        <v>10</v>
      </c>
      <c r="I7" s="33">
        <f>SUM(E8:H8)</f>
        <v>540000</v>
      </c>
    </row>
    <row r="8" spans="1:11" s="1" customFormat="1" ht="17.5" customHeight="1" x14ac:dyDescent="0.35">
      <c r="A8" s="4"/>
      <c r="B8" s="4"/>
      <c r="C8" s="4"/>
      <c r="D8" s="6"/>
      <c r="E8" s="17">
        <f>180000+100000+140000</f>
        <v>420000</v>
      </c>
      <c r="F8" s="4"/>
      <c r="G8" s="4"/>
      <c r="H8" s="17">
        <v>120000</v>
      </c>
      <c r="I8" s="34"/>
    </row>
    <row r="9" spans="1:11" s="1" customFormat="1" ht="17" customHeight="1" x14ac:dyDescent="0.35">
      <c r="D9" s="9"/>
      <c r="I9" s="8"/>
    </row>
    <row r="10" spans="1:11" s="13" customFormat="1" ht="29" x14ac:dyDescent="0.35">
      <c r="A10" s="4">
        <v>71</v>
      </c>
      <c r="B10" s="5" t="s">
        <v>13</v>
      </c>
      <c r="C10" s="4">
        <v>1</v>
      </c>
      <c r="D10" s="6">
        <v>46029</v>
      </c>
      <c r="E10" s="4" t="s">
        <v>14</v>
      </c>
      <c r="F10" s="4" t="s">
        <v>20</v>
      </c>
      <c r="G10" s="4" t="s">
        <v>22</v>
      </c>
      <c r="H10" s="4" t="s">
        <v>6</v>
      </c>
      <c r="I10" s="33">
        <f>SUM(E11,H11)</f>
        <v>100000</v>
      </c>
    </row>
    <row r="11" spans="1:11" s="13" customFormat="1" x14ac:dyDescent="0.35">
      <c r="A11" s="4"/>
      <c r="B11" s="5"/>
      <c r="C11" s="4"/>
      <c r="D11" s="6"/>
      <c r="E11" s="17">
        <v>100000</v>
      </c>
      <c r="F11" s="4"/>
      <c r="G11" s="4"/>
      <c r="H11" s="4"/>
      <c r="I11" s="34"/>
    </row>
    <row r="12" spans="1:11" s="13" customFormat="1" x14ac:dyDescent="0.35">
      <c r="A12" s="1"/>
      <c r="B12" s="3"/>
      <c r="C12" s="1"/>
      <c r="D12" s="9"/>
      <c r="E12" s="1"/>
      <c r="F12" s="1"/>
      <c r="G12" s="1"/>
      <c r="H12" s="1"/>
      <c r="I12" s="1"/>
      <c r="K12"/>
    </row>
    <row r="13" spans="1:11" s="13" customFormat="1" ht="43.5" x14ac:dyDescent="0.35">
      <c r="A13" s="27">
        <v>72</v>
      </c>
      <c r="B13" s="31" t="s">
        <v>15</v>
      </c>
      <c r="C13" s="27">
        <v>2</v>
      </c>
      <c r="D13" s="6">
        <v>46029</v>
      </c>
      <c r="E13" s="4" t="s">
        <v>23</v>
      </c>
      <c r="F13" s="4" t="s">
        <v>20</v>
      </c>
      <c r="G13" s="4" t="s">
        <v>33</v>
      </c>
      <c r="H13" s="4" t="s">
        <v>6</v>
      </c>
      <c r="I13" s="33">
        <f>SUM(E15:H15)</f>
        <v>700000</v>
      </c>
    </row>
    <row r="14" spans="1:11" s="13" customFormat="1" ht="58" x14ac:dyDescent="0.35">
      <c r="A14" s="29"/>
      <c r="B14" s="32"/>
      <c r="C14" s="29"/>
      <c r="D14" s="6">
        <v>46030</v>
      </c>
      <c r="E14" s="4" t="s">
        <v>24</v>
      </c>
      <c r="F14" s="4" t="s">
        <v>20</v>
      </c>
      <c r="G14" s="4" t="s">
        <v>33</v>
      </c>
      <c r="H14" s="4" t="s">
        <v>6</v>
      </c>
      <c r="I14" s="35"/>
    </row>
    <row r="15" spans="1:11" s="14" customFormat="1" x14ac:dyDescent="0.35">
      <c r="A15" s="20"/>
      <c r="B15" s="21"/>
      <c r="C15" s="20"/>
      <c r="D15" s="20"/>
      <c r="E15" s="20">
        <v>560000</v>
      </c>
      <c r="F15" s="20"/>
      <c r="G15" s="20">
        <v>140000</v>
      </c>
      <c r="H15" s="20"/>
      <c r="I15" s="34"/>
    </row>
    <row r="16" spans="1:11" s="13" customFormat="1" x14ac:dyDescent="0.35">
      <c r="A16" s="1"/>
      <c r="B16" s="3"/>
      <c r="C16" s="1"/>
      <c r="D16" s="9"/>
      <c r="E16" s="1"/>
      <c r="F16" s="1"/>
      <c r="G16" s="1"/>
      <c r="H16" s="1"/>
      <c r="I16" s="8"/>
    </row>
    <row r="17" spans="1:9" s="13" customFormat="1" ht="87" x14ac:dyDescent="0.35">
      <c r="A17" s="31">
        <v>73</v>
      </c>
      <c r="B17" s="31" t="s">
        <v>16</v>
      </c>
      <c r="C17" s="31">
        <v>4</v>
      </c>
      <c r="D17" s="6">
        <v>46037</v>
      </c>
      <c r="E17" s="4" t="s">
        <v>25</v>
      </c>
      <c r="F17" s="5" t="s">
        <v>20</v>
      </c>
      <c r="G17" s="5" t="s">
        <v>32</v>
      </c>
      <c r="H17" s="5" t="s">
        <v>6</v>
      </c>
      <c r="I17" s="33">
        <f>SUM(E19:H19)</f>
        <v>1660000</v>
      </c>
    </row>
    <row r="18" spans="1:9" s="13" customFormat="1" ht="58" x14ac:dyDescent="0.35">
      <c r="A18" s="32"/>
      <c r="B18" s="32"/>
      <c r="C18" s="32"/>
      <c r="D18" s="6">
        <v>46038</v>
      </c>
      <c r="E18" s="4" t="s">
        <v>26</v>
      </c>
      <c r="F18" s="5" t="s">
        <v>20</v>
      </c>
      <c r="G18" s="5" t="s">
        <v>32</v>
      </c>
      <c r="H18" s="4" t="s">
        <v>6</v>
      </c>
      <c r="I18" s="35"/>
    </row>
    <row r="19" spans="1:9" s="14" customFormat="1" x14ac:dyDescent="0.35">
      <c r="A19" s="21"/>
      <c r="B19" s="21"/>
      <c r="C19" s="21"/>
      <c r="D19" s="20"/>
      <c r="E19" s="20">
        <v>1380000</v>
      </c>
      <c r="F19" s="21"/>
      <c r="G19" s="21">
        <f>140000+140000</f>
        <v>280000</v>
      </c>
      <c r="H19" s="21"/>
      <c r="I19" s="34"/>
    </row>
    <row r="20" spans="1:9" s="13" customFormat="1" x14ac:dyDescent="0.35">
      <c r="A20" s="3"/>
      <c r="B20" s="3"/>
      <c r="C20" s="3"/>
      <c r="D20" s="9"/>
      <c r="E20" s="1"/>
      <c r="F20" s="3"/>
      <c r="G20" s="3"/>
      <c r="H20" s="3"/>
      <c r="I20" s="12"/>
    </row>
    <row r="21" spans="1:9" s="13" customFormat="1" ht="29" x14ac:dyDescent="0.35">
      <c r="A21" s="5">
        <v>74</v>
      </c>
      <c r="B21" s="5" t="s">
        <v>17</v>
      </c>
      <c r="C21" s="5">
        <v>2</v>
      </c>
      <c r="D21" s="6">
        <v>46037</v>
      </c>
      <c r="E21" s="4" t="s">
        <v>18</v>
      </c>
      <c r="F21" s="5" t="s">
        <v>20</v>
      </c>
      <c r="G21" s="5" t="s">
        <v>21</v>
      </c>
      <c r="H21" s="5" t="s">
        <v>6</v>
      </c>
      <c r="I21" s="33">
        <f>SUM(E22:H22)</f>
        <v>180000</v>
      </c>
    </row>
    <row r="22" spans="1:9" x14ac:dyDescent="0.35">
      <c r="A22" s="4"/>
      <c r="B22" s="4"/>
      <c r="C22" s="4"/>
      <c r="D22" s="4"/>
      <c r="E22" s="17">
        <v>180000</v>
      </c>
      <c r="F22" s="4"/>
      <c r="G22" s="4"/>
      <c r="H22" s="4"/>
      <c r="I22" s="34"/>
    </row>
    <row r="23" spans="1:9" x14ac:dyDescent="0.35">
      <c r="A23" s="1"/>
      <c r="B23" s="1"/>
      <c r="C23" s="1"/>
      <c r="D23" s="1"/>
      <c r="E23" s="1"/>
      <c r="F23" s="1"/>
      <c r="G23" s="1"/>
      <c r="H23" s="1"/>
      <c r="I23" s="8"/>
    </row>
    <row r="24" spans="1:9" ht="43.5" x14ac:dyDescent="0.35">
      <c r="A24" s="4">
        <v>75</v>
      </c>
      <c r="B24" s="4" t="s">
        <v>28</v>
      </c>
      <c r="C24" s="4">
        <v>4</v>
      </c>
      <c r="D24" s="6">
        <v>46038</v>
      </c>
      <c r="E24" s="4" t="s">
        <v>31</v>
      </c>
      <c r="F24" s="4" t="s">
        <v>20</v>
      </c>
      <c r="G24" s="4" t="s">
        <v>29</v>
      </c>
      <c r="H24" s="4" t="s">
        <v>6</v>
      </c>
      <c r="I24" s="30">
        <f>SUM(E25:H25)</f>
        <v>240000</v>
      </c>
    </row>
    <row r="25" spans="1:9" s="7" customFormat="1" x14ac:dyDescent="0.35">
      <c r="A25" s="20"/>
      <c r="B25" s="20"/>
      <c r="C25" s="20"/>
      <c r="D25" s="20"/>
      <c r="E25" s="20">
        <v>240000</v>
      </c>
      <c r="F25" s="20"/>
      <c r="G25" s="20"/>
      <c r="H25" s="20"/>
      <c r="I25" s="30"/>
    </row>
    <row r="26" spans="1:9" x14ac:dyDescent="0.35">
      <c r="A26" s="1"/>
      <c r="B26" s="1"/>
      <c r="C26" s="1"/>
      <c r="D26" s="1"/>
      <c r="E26" s="1"/>
      <c r="F26" s="1"/>
      <c r="G26" s="1"/>
      <c r="H26" s="1"/>
      <c r="I26" s="8"/>
    </row>
    <row r="27" spans="1:9" ht="29" x14ac:dyDescent="0.35">
      <c r="A27" s="4">
        <v>76</v>
      </c>
      <c r="B27" s="22" t="s">
        <v>34</v>
      </c>
      <c r="C27" s="4">
        <v>1</v>
      </c>
      <c r="D27" s="6">
        <v>46048</v>
      </c>
      <c r="E27" s="4" t="s">
        <v>35</v>
      </c>
      <c r="F27" s="4" t="s">
        <v>20</v>
      </c>
      <c r="G27" s="4" t="s">
        <v>6</v>
      </c>
      <c r="H27" s="4" t="s">
        <v>6</v>
      </c>
      <c r="I27" s="23">
        <v>90000</v>
      </c>
    </row>
    <row r="28" spans="1:9" x14ac:dyDescent="0.35">
      <c r="A28" s="4"/>
      <c r="B28" s="4"/>
      <c r="C28" s="4"/>
      <c r="D28" s="4"/>
      <c r="E28" s="17">
        <v>90000</v>
      </c>
      <c r="F28" s="4"/>
      <c r="G28" s="4"/>
      <c r="H28" s="4"/>
      <c r="I28" s="24"/>
    </row>
    <row r="29" spans="1:9" x14ac:dyDescent="0.35">
      <c r="A29" s="1"/>
      <c r="B29" s="1"/>
      <c r="C29" s="1"/>
      <c r="D29" s="1"/>
      <c r="E29" s="1"/>
      <c r="F29" s="1"/>
      <c r="G29" s="1"/>
      <c r="H29" s="1"/>
      <c r="I29" s="8"/>
    </row>
    <row r="30" spans="1:9" ht="43.5" x14ac:dyDescent="0.35">
      <c r="A30" s="26">
        <v>77</v>
      </c>
      <c r="B30" s="27" t="s">
        <v>36</v>
      </c>
      <c r="C30" s="27">
        <v>3</v>
      </c>
      <c r="D30" s="6">
        <v>46051</v>
      </c>
      <c r="E30" s="4" t="s">
        <v>37</v>
      </c>
      <c r="F30" s="4" t="s">
        <v>20</v>
      </c>
      <c r="G30" s="4" t="s">
        <v>6</v>
      </c>
      <c r="H30" s="4" t="s">
        <v>10</v>
      </c>
      <c r="I30" s="25">
        <f>SUM(E31:H31)</f>
        <v>555000</v>
      </c>
    </row>
    <row r="31" spans="1:9" x14ac:dyDescent="0.35">
      <c r="A31" s="26"/>
      <c r="B31" s="28"/>
      <c r="C31" s="28"/>
      <c r="D31" s="4"/>
      <c r="E31" s="17">
        <f>140000*3</f>
        <v>420000</v>
      </c>
      <c r="F31" s="4">
        <f>15000*3</f>
        <v>45000</v>
      </c>
      <c r="G31" s="4"/>
      <c r="H31" s="4">
        <f>30000*3</f>
        <v>90000</v>
      </c>
      <c r="I31" s="25"/>
    </row>
    <row r="32" spans="1:9" ht="87" x14ac:dyDescent="0.35">
      <c r="A32" s="26"/>
      <c r="B32" s="28"/>
      <c r="C32" s="28"/>
      <c r="D32" s="6">
        <v>46052</v>
      </c>
      <c r="E32" s="4" t="s">
        <v>38</v>
      </c>
      <c r="F32" s="4" t="s">
        <v>20</v>
      </c>
      <c r="G32" s="4" t="s">
        <v>6</v>
      </c>
      <c r="H32" s="4" t="s">
        <v>10</v>
      </c>
      <c r="I32" s="25">
        <f>SUM(E33:H33)</f>
        <v>860000</v>
      </c>
    </row>
    <row r="33" spans="1:12" x14ac:dyDescent="0.35">
      <c r="A33" s="26"/>
      <c r="B33" s="29"/>
      <c r="C33" s="29"/>
      <c r="D33" s="4"/>
      <c r="E33" s="4">
        <f>(350000*2)+100000</f>
        <v>800000</v>
      </c>
      <c r="F33" s="4"/>
      <c r="G33" s="4"/>
      <c r="H33" s="4">
        <f>15000*4</f>
        <v>60000</v>
      </c>
      <c r="I33" s="25"/>
    </row>
    <row r="34" spans="1:12" x14ac:dyDescent="0.35">
      <c r="A34" s="1"/>
      <c r="B34" s="1"/>
      <c r="C34" s="1"/>
      <c r="D34" s="1"/>
      <c r="E34" s="1"/>
      <c r="F34" s="1"/>
      <c r="G34" s="1"/>
      <c r="H34" s="1"/>
      <c r="I34" s="8"/>
    </row>
    <row r="35" spans="1:12" x14ac:dyDescent="0.35">
      <c r="A35" s="1"/>
      <c r="B35" s="1"/>
      <c r="C35" s="1"/>
      <c r="D35" s="1"/>
      <c r="E35" s="1"/>
      <c r="F35" s="1"/>
      <c r="G35" s="1"/>
      <c r="H35" s="1"/>
      <c r="I35" s="8"/>
    </row>
    <row r="36" spans="1:12" x14ac:dyDescent="0.35">
      <c r="A36" s="1"/>
      <c r="B36" s="1"/>
      <c r="C36" s="1"/>
      <c r="D36" s="1"/>
      <c r="E36" s="1"/>
      <c r="F36" s="1"/>
      <c r="G36" s="1"/>
      <c r="H36" s="1"/>
      <c r="I36" s="8"/>
    </row>
    <row r="37" spans="1:12" x14ac:dyDescent="0.35">
      <c r="A37" s="1"/>
      <c r="B37" s="1"/>
      <c r="C37" s="1"/>
      <c r="D37" s="1"/>
      <c r="E37" s="1"/>
      <c r="F37" s="1"/>
      <c r="G37" s="1"/>
      <c r="H37" s="1"/>
      <c r="I37" s="8"/>
    </row>
    <row r="38" spans="1:12" x14ac:dyDescent="0.35">
      <c r="A38" s="1"/>
      <c r="B38" s="1"/>
      <c r="C38" s="1"/>
      <c r="D38" s="1"/>
      <c r="E38" s="1"/>
      <c r="F38" s="1"/>
      <c r="G38" s="1"/>
      <c r="H38" s="1"/>
      <c r="I38" s="8"/>
    </row>
    <row r="39" spans="1:12" x14ac:dyDescent="0.35">
      <c r="A39" s="1"/>
      <c r="B39" s="1"/>
      <c r="C39" s="1"/>
      <c r="D39" s="1"/>
      <c r="E39" s="1"/>
      <c r="F39" s="1"/>
      <c r="G39" s="1"/>
      <c r="H39" s="1"/>
      <c r="I39" s="8"/>
    </row>
    <row r="40" spans="1:12" x14ac:dyDescent="0.35">
      <c r="A40" s="1"/>
      <c r="B40" s="1"/>
      <c r="C40" s="1"/>
      <c r="D40" s="1"/>
      <c r="E40" s="1"/>
      <c r="F40" s="1"/>
      <c r="G40" s="1"/>
      <c r="H40" s="1"/>
      <c r="I40" s="8"/>
      <c r="L40" s="7"/>
    </row>
    <row r="41" spans="1:12" x14ac:dyDescent="0.35">
      <c r="H41" s="2" t="s">
        <v>5</v>
      </c>
      <c r="I41" s="18">
        <f>SUM(I3:I40)</f>
        <v>5625000</v>
      </c>
      <c r="L41" s="7"/>
    </row>
    <row r="42" spans="1:12" x14ac:dyDescent="0.35">
      <c r="L42" s="7"/>
    </row>
    <row r="43" spans="1:12" x14ac:dyDescent="0.35">
      <c r="L43" s="7"/>
    </row>
    <row r="44" spans="1:12" x14ac:dyDescent="0.35">
      <c r="L44" s="7"/>
    </row>
    <row r="45" spans="1:12" x14ac:dyDescent="0.35">
      <c r="L45" s="7"/>
    </row>
    <row r="46" spans="1:12" x14ac:dyDescent="0.35">
      <c r="L46" s="7"/>
    </row>
    <row r="47" spans="1:12" x14ac:dyDescent="0.35">
      <c r="L47" s="7"/>
    </row>
    <row r="48" spans="1:12" x14ac:dyDescent="0.35">
      <c r="L48" s="7"/>
    </row>
    <row r="49" spans="12:12" x14ac:dyDescent="0.35">
      <c r="L49" s="7"/>
    </row>
  </sheetData>
  <mergeCells count="18">
    <mergeCell ref="I4:I5"/>
    <mergeCell ref="I7:I8"/>
    <mergeCell ref="I10:I11"/>
    <mergeCell ref="I13:I15"/>
    <mergeCell ref="I17:I19"/>
    <mergeCell ref="I24:I25"/>
    <mergeCell ref="C13:C14"/>
    <mergeCell ref="B13:B14"/>
    <mergeCell ref="A13:A14"/>
    <mergeCell ref="C17:C18"/>
    <mergeCell ref="B17:B18"/>
    <mergeCell ref="A17:A18"/>
    <mergeCell ref="I21:I22"/>
    <mergeCell ref="I30:I31"/>
    <mergeCell ref="I32:I33"/>
    <mergeCell ref="A30:A33"/>
    <mergeCell ref="B30:B33"/>
    <mergeCell ref="C30:C3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2025-07-14T13:10:49Z</dcterms:created>
  <dcterms:modified xsi:type="dcterms:W3CDTF">2026-03-01T18:51:01Z</dcterms:modified>
</cp:coreProperties>
</file>