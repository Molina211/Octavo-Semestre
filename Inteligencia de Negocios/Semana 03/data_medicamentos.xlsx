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<sst xmlns="http://schemas.openxmlformats.org/spreadsheetml/2006/main" count="808" uniqueCount="569">
  <si>
    <t xml:space="preserve">MEDICAMENTO</t>
  </si>
  <si>
    <t xml:space="preserve">CANTIDAD</t>
  </si>
  <si>
    <t xml:space="preserve">PRECIO UNITARIO</t>
  </si>
  <si>
    <t xml:space="preserve">PRECIO DE VENTA</t>
  </si>
  <si>
    <t xml:space="preserve">FECHA DE VENCIMIENTO</t>
  </si>
  <si>
    <t xml:space="preserve">NUMERO DE LOTE</t>
  </si>
  <si>
    <t xml:space="preserve">PAIS-CIUDAD</t>
  </si>
  <si>
    <t xml:space="preserve">PRECIO DE INVENTARIO</t>
  </si>
  <si>
    <t xml:space="preserve">Tramadol 600mg</t>
  </si>
  <si>
    <t xml:space="preserve">10/05/2028</t>
  </si>
  <si>
    <t xml:space="preserve">LOTE-34890</t>
  </si>
  <si>
    <t xml:space="preserve">Colombia-Cali</t>
  </si>
  <si>
    <t xml:space="preserve">Metoprolol 500mg</t>
  </si>
  <si>
    <t xml:space="preserve">24/07/2027</t>
  </si>
  <si>
    <t xml:space="preserve">LOTE-28585</t>
  </si>
  <si>
    <t xml:space="preserve">Colombia-Medellín</t>
  </si>
  <si>
    <t xml:space="preserve">Fluoxetina 1000mg</t>
  </si>
  <si>
    <t xml:space="preserve">17/07/2028</t>
  </si>
  <si>
    <t xml:space="preserve">LOTE-90683</t>
  </si>
  <si>
    <t xml:space="preserve">Panamá-Ciudad de Panamá</t>
  </si>
  <si>
    <t xml:space="preserve">Azitromicina 750mg</t>
  </si>
  <si>
    <t xml:space="preserve">23/10/2026</t>
  </si>
  <si>
    <t xml:space="preserve">LOTE-34930</t>
  </si>
  <si>
    <t xml:space="preserve">Costa Rica-San José</t>
  </si>
  <si>
    <t xml:space="preserve">Atorvastatina 750mg</t>
  </si>
  <si>
    <t xml:space="preserve">12/12/2027</t>
  </si>
  <si>
    <t xml:space="preserve">LOTE-87458</t>
  </si>
  <si>
    <t xml:space="preserve">Estados Unidos-Miami</t>
  </si>
  <si>
    <t xml:space="preserve">Ranitidina 600mg</t>
  </si>
  <si>
    <t xml:space="preserve">21/09/2026</t>
  </si>
  <si>
    <t xml:space="preserve">LOTE-96828</t>
  </si>
  <si>
    <t xml:space="preserve">Insulina Glargina 850mg</t>
  </si>
  <si>
    <t xml:space="preserve">24/01/2029</t>
  </si>
  <si>
    <t xml:space="preserve">LOTE-20905</t>
  </si>
  <si>
    <t xml:space="preserve">Brasil-São Paulo</t>
  </si>
  <si>
    <t xml:space="preserve">Paracetamol 300mg</t>
  </si>
  <si>
    <t xml:space="preserve">27/11/2026</t>
  </si>
  <si>
    <t xml:space="preserve">LOTE-83812</t>
  </si>
  <si>
    <t xml:space="preserve">España-Madrid</t>
  </si>
  <si>
    <t xml:space="preserve">Losartán 400mg</t>
  </si>
  <si>
    <t xml:space="preserve">24/11/2026</t>
  </si>
  <si>
    <t xml:space="preserve">LOTE-12213</t>
  </si>
  <si>
    <t xml:space="preserve">Fluconazol 50mg</t>
  </si>
  <si>
    <t xml:space="preserve">11/01/2028</t>
  </si>
  <si>
    <t xml:space="preserve">LOTE-59212</t>
  </si>
  <si>
    <t xml:space="preserve">Captopril 400mg</t>
  </si>
  <si>
    <t xml:space="preserve">20/06/2027</t>
  </si>
  <si>
    <t xml:space="preserve">LOTE-54157</t>
  </si>
  <si>
    <t xml:space="preserve">Furosemida 300mg</t>
  </si>
  <si>
    <t xml:space="preserve">01/02/2027</t>
  </si>
  <si>
    <t xml:space="preserve">LOTE-42294</t>
  </si>
  <si>
    <t xml:space="preserve">Losartán 50mg</t>
  </si>
  <si>
    <t xml:space="preserve">17/03/2027</t>
  </si>
  <si>
    <t xml:space="preserve">LOTE-99401</t>
  </si>
  <si>
    <t xml:space="preserve">Argentina-Buenos Aires</t>
  </si>
  <si>
    <t xml:space="preserve">Ranitidina 500mg</t>
  </si>
  <si>
    <t xml:space="preserve">12/11/2028</t>
  </si>
  <si>
    <t xml:space="preserve">LOTE-27166</t>
  </si>
  <si>
    <t xml:space="preserve">Perú-Lima</t>
  </si>
  <si>
    <t xml:space="preserve">Cefalexina 400mg</t>
  </si>
  <si>
    <t xml:space="preserve">22/04/2027</t>
  </si>
  <si>
    <t xml:space="preserve">LOTE-10061</t>
  </si>
  <si>
    <t xml:space="preserve">México-Ciudad de México</t>
  </si>
  <si>
    <t xml:space="preserve">Alprazolam 250mg</t>
  </si>
  <si>
    <t xml:space="preserve">25/10/2027</t>
  </si>
  <si>
    <t xml:space="preserve">LOTE-88907</t>
  </si>
  <si>
    <t xml:space="preserve">Gabapentina 100mg</t>
  </si>
  <si>
    <t xml:space="preserve">13/12/2027</t>
  </si>
  <si>
    <t xml:space="preserve">LOTE-43852</t>
  </si>
  <si>
    <t xml:space="preserve">Colombia-Bogotá</t>
  </si>
  <si>
    <t xml:space="preserve">Loperamida 750mg</t>
  </si>
  <si>
    <t xml:space="preserve">01/12/2026</t>
  </si>
  <si>
    <t xml:space="preserve">LOTE-19736</t>
  </si>
  <si>
    <t xml:space="preserve">Clonazepam 750mg</t>
  </si>
  <si>
    <t xml:space="preserve">29/09/2027</t>
  </si>
  <si>
    <t xml:space="preserve">LOTE-58719</t>
  </si>
  <si>
    <t xml:space="preserve">Ecuador-Quito</t>
  </si>
  <si>
    <t xml:space="preserve">Insulina Glargina 150mg</t>
  </si>
  <si>
    <t xml:space="preserve">23/03/2027</t>
  </si>
  <si>
    <t xml:space="preserve">LOTE-92214</t>
  </si>
  <si>
    <t xml:space="preserve">Furosemida 200mg</t>
  </si>
  <si>
    <t xml:space="preserve">13/10/2028</t>
  </si>
  <si>
    <t xml:space="preserve">LOTE-92441</t>
  </si>
  <si>
    <t xml:space="preserve">Ranitidina 850mg</t>
  </si>
  <si>
    <t xml:space="preserve">06/12/2026</t>
  </si>
  <si>
    <t xml:space="preserve">LOTE-65241</t>
  </si>
  <si>
    <t xml:space="preserve">Losartán 100mg</t>
  </si>
  <si>
    <t xml:space="preserve">LOTE-61329</t>
  </si>
  <si>
    <t xml:space="preserve">Warfarina 750mg</t>
  </si>
  <si>
    <t xml:space="preserve">15/03/2027</t>
  </si>
  <si>
    <t xml:space="preserve">LOTE-19014</t>
  </si>
  <si>
    <t xml:space="preserve">Enalapril 500mg</t>
  </si>
  <si>
    <t xml:space="preserve">LOTE-36735</t>
  </si>
  <si>
    <t xml:space="preserve">Ibuprofeno 100mg</t>
  </si>
  <si>
    <t xml:space="preserve">30/05/2027</t>
  </si>
  <si>
    <t xml:space="preserve">LOTE-17924</t>
  </si>
  <si>
    <t xml:space="preserve">Naproxeno 250mg</t>
  </si>
  <si>
    <t xml:space="preserve">22/09/2027</t>
  </si>
  <si>
    <t xml:space="preserve">LOTE-28141</t>
  </si>
  <si>
    <t xml:space="preserve">Tramadol 300mg</t>
  </si>
  <si>
    <t xml:space="preserve">22/10/2026</t>
  </si>
  <si>
    <t xml:space="preserve">LOTE-12345</t>
  </si>
  <si>
    <t xml:space="preserve">Chile-Santiago</t>
  </si>
  <si>
    <t xml:space="preserve">Prednisona 1000mg</t>
  </si>
  <si>
    <t xml:space="preserve">21/05/2028</t>
  </si>
  <si>
    <t xml:space="preserve">LOTE-93385</t>
  </si>
  <si>
    <t xml:space="preserve">Amlodipino 100mg</t>
  </si>
  <si>
    <t xml:space="preserve">30/11/2026</t>
  </si>
  <si>
    <t xml:space="preserve">LOTE-19864</t>
  </si>
  <si>
    <t xml:space="preserve">Fluoxetina 300mg</t>
  </si>
  <si>
    <t xml:space="preserve">12/09/2027</t>
  </si>
  <si>
    <t xml:space="preserve">LOTE-21131</t>
  </si>
  <si>
    <t xml:space="preserve">25/04/2028</t>
  </si>
  <si>
    <t xml:space="preserve">LOTE-11904</t>
  </si>
  <si>
    <t xml:space="preserve">Clindamicina 400mg</t>
  </si>
  <si>
    <t xml:space="preserve">29/11/2026</t>
  </si>
  <si>
    <t xml:space="preserve">LOTE-20512</t>
  </si>
  <si>
    <t xml:space="preserve">Doxiciclina 100mg</t>
  </si>
  <si>
    <t xml:space="preserve">21/08/2027</t>
  </si>
  <si>
    <t xml:space="preserve">LOTE-60913</t>
  </si>
  <si>
    <t xml:space="preserve">Complejo B 1000mg</t>
  </si>
  <si>
    <t xml:space="preserve">03/01/2028</t>
  </si>
  <si>
    <t xml:space="preserve">LOTE-80942</t>
  </si>
  <si>
    <t xml:space="preserve">Hidroclorotiazida 600mg</t>
  </si>
  <si>
    <t xml:space="preserve">15/12/2026</t>
  </si>
  <si>
    <t xml:space="preserve">LOTE-73039</t>
  </si>
  <si>
    <t xml:space="preserve">Enalapril 1000mg</t>
  </si>
  <si>
    <t xml:space="preserve">23/07/2028</t>
  </si>
  <si>
    <t xml:space="preserve">LOTE-73739</t>
  </si>
  <si>
    <t xml:space="preserve">Acetaminofén 300mg</t>
  </si>
  <si>
    <t xml:space="preserve">04/06/2028</t>
  </si>
  <si>
    <t xml:space="preserve">LOTE-36551</t>
  </si>
  <si>
    <t xml:space="preserve">Azitromicina 300mg</t>
  </si>
  <si>
    <t xml:space="preserve">17/08/2027</t>
  </si>
  <si>
    <t xml:space="preserve">LOTE-63052</t>
  </si>
  <si>
    <t xml:space="preserve">Paracetamol 200mg</t>
  </si>
  <si>
    <t xml:space="preserve">15/10/2027</t>
  </si>
  <si>
    <t xml:space="preserve">LOTE-38780</t>
  </si>
  <si>
    <t xml:space="preserve">Salbutamol 50mcg</t>
  </si>
  <si>
    <t xml:space="preserve">11/09/2027</t>
  </si>
  <si>
    <t xml:space="preserve">LOTE-15317</t>
  </si>
  <si>
    <t xml:space="preserve">Omeprazol 250mg</t>
  </si>
  <si>
    <t xml:space="preserve">12/01/2028</t>
  </si>
  <si>
    <t xml:space="preserve">LOTE-46066</t>
  </si>
  <si>
    <t xml:space="preserve">Clonazepam 400mg</t>
  </si>
  <si>
    <t xml:space="preserve">05/08/2027</t>
  </si>
  <si>
    <t xml:space="preserve">LOTE-91890</t>
  </si>
  <si>
    <t xml:space="preserve">Salbutamol 100mcg</t>
  </si>
  <si>
    <t xml:space="preserve">29/10/2026</t>
  </si>
  <si>
    <t xml:space="preserve">LOTE-98900</t>
  </si>
  <si>
    <t xml:space="preserve">Ciprofloxacino 750mg</t>
  </si>
  <si>
    <t xml:space="preserve">05/12/2028</t>
  </si>
  <si>
    <t xml:space="preserve">LOTE-83929</t>
  </si>
  <si>
    <t xml:space="preserve">Cefalexina 150mg</t>
  </si>
  <si>
    <t xml:space="preserve">12/10/2026</t>
  </si>
  <si>
    <t xml:space="preserve">LOTE-44919</t>
  </si>
  <si>
    <t xml:space="preserve">Colombia-Barranquilla</t>
  </si>
  <si>
    <t xml:space="preserve">Loperamida 150mg</t>
  </si>
  <si>
    <t xml:space="preserve">06/01/2027</t>
  </si>
  <si>
    <t xml:space="preserve">LOTE-92570</t>
  </si>
  <si>
    <t xml:space="preserve">Cefalexina 850mg</t>
  </si>
  <si>
    <t xml:space="preserve">07/04/2027</t>
  </si>
  <si>
    <t xml:space="preserve">LOTE-36128</t>
  </si>
  <si>
    <t xml:space="preserve">Amlodipino 250mg</t>
  </si>
  <si>
    <t xml:space="preserve">17/03/2028</t>
  </si>
  <si>
    <t xml:space="preserve">LOTE-14741</t>
  </si>
  <si>
    <t xml:space="preserve">Enalapril 250mg</t>
  </si>
  <si>
    <t xml:space="preserve">02/02/2029</t>
  </si>
  <si>
    <t xml:space="preserve">LOTE-39350</t>
  </si>
  <si>
    <t xml:space="preserve">Warfarina 1000mg</t>
  </si>
  <si>
    <t xml:space="preserve">25/12/2027</t>
  </si>
  <si>
    <t xml:space="preserve">LOTE-35805</t>
  </si>
  <si>
    <t xml:space="preserve">Acetaminofén 400mg</t>
  </si>
  <si>
    <t xml:space="preserve">LOTE-95370</t>
  </si>
  <si>
    <t xml:space="preserve">Losartán 1000mg</t>
  </si>
  <si>
    <t xml:space="preserve">21/10/2027</t>
  </si>
  <si>
    <t xml:space="preserve">LOTE-21513</t>
  </si>
  <si>
    <t xml:space="preserve">15/02/2028</t>
  </si>
  <si>
    <t xml:space="preserve">LOTE-20849</t>
  </si>
  <si>
    <t xml:space="preserve">29/01/2028</t>
  </si>
  <si>
    <t xml:space="preserve">LOTE-13723</t>
  </si>
  <si>
    <t xml:space="preserve">Omeprazol 400mg</t>
  </si>
  <si>
    <t xml:space="preserve">26/08/2027</t>
  </si>
  <si>
    <t xml:space="preserve">LOTE-99991</t>
  </si>
  <si>
    <t xml:space="preserve">Aspirina 500mg</t>
  </si>
  <si>
    <t xml:space="preserve">01/05/2028</t>
  </si>
  <si>
    <t xml:space="preserve">LOTE-21275</t>
  </si>
  <si>
    <t xml:space="preserve">14/04/2028</t>
  </si>
  <si>
    <t xml:space="preserve">LOTE-93738</t>
  </si>
  <si>
    <t xml:space="preserve">04/08/2028</t>
  </si>
  <si>
    <t xml:space="preserve">LOTE-59966</t>
  </si>
  <si>
    <t xml:space="preserve">Trazodona 200mg</t>
  </si>
  <si>
    <t xml:space="preserve">06/03/2028</t>
  </si>
  <si>
    <t xml:space="preserve">LOTE-45777</t>
  </si>
  <si>
    <t xml:space="preserve">Clopidogrel 200mg</t>
  </si>
  <si>
    <t xml:space="preserve">22/09/2026</t>
  </si>
  <si>
    <t xml:space="preserve">LOTE-89328</t>
  </si>
  <si>
    <t xml:space="preserve">Ibuprofeno 600mg</t>
  </si>
  <si>
    <t xml:space="preserve">15/12/2028</t>
  </si>
  <si>
    <t xml:space="preserve">LOTE-83776</t>
  </si>
  <si>
    <t xml:space="preserve">Clopidogrel 100mg</t>
  </si>
  <si>
    <t xml:space="preserve">30/12/2027</t>
  </si>
  <si>
    <t xml:space="preserve">LOTE-64234</t>
  </si>
  <si>
    <t xml:space="preserve">Captopril 250mg</t>
  </si>
  <si>
    <t xml:space="preserve">25/01/2027</t>
  </si>
  <si>
    <t xml:space="preserve">LOTE-54522</t>
  </si>
  <si>
    <t xml:space="preserve">Amlodipino 600mg</t>
  </si>
  <si>
    <t xml:space="preserve">20/11/2027</t>
  </si>
  <si>
    <t xml:space="preserve">LOTE-90988</t>
  </si>
  <si>
    <t xml:space="preserve">Paracetamol 150mg</t>
  </si>
  <si>
    <t xml:space="preserve">23/02/2027</t>
  </si>
  <si>
    <t xml:space="preserve">LOTE-39787</t>
  </si>
  <si>
    <t xml:space="preserve">Fluconazol 250mg</t>
  </si>
  <si>
    <t xml:space="preserve">12/06/2028</t>
  </si>
  <si>
    <t xml:space="preserve">LOTE-75381</t>
  </si>
  <si>
    <t xml:space="preserve">Clopidogrel 1000mg</t>
  </si>
  <si>
    <t xml:space="preserve">16/06/2028</t>
  </si>
  <si>
    <t xml:space="preserve">LOTE-42840</t>
  </si>
  <si>
    <t xml:space="preserve">Ranitidina 1000mg</t>
  </si>
  <si>
    <t xml:space="preserve">06/10/2027</t>
  </si>
  <si>
    <t xml:space="preserve">LOTE-92969</t>
  </si>
  <si>
    <t xml:space="preserve">Hidroclorotiazida 750mg</t>
  </si>
  <si>
    <t xml:space="preserve">16/03/2028</t>
  </si>
  <si>
    <t xml:space="preserve">LOTE-93685</t>
  </si>
  <si>
    <t xml:space="preserve">Hidroclorotiazida 200mg</t>
  </si>
  <si>
    <t xml:space="preserve">14/10/2028</t>
  </si>
  <si>
    <t xml:space="preserve">LOTE-92298</t>
  </si>
  <si>
    <t xml:space="preserve">Prednisona 150mg</t>
  </si>
  <si>
    <t xml:space="preserve">28/04/2027</t>
  </si>
  <si>
    <t xml:space="preserve">LOTE-35499</t>
  </si>
  <si>
    <t xml:space="preserve">Losartán 150mg</t>
  </si>
  <si>
    <t xml:space="preserve">16/12/2026</t>
  </si>
  <si>
    <t xml:space="preserve">LOTE-44012</t>
  </si>
  <si>
    <t xml:space="preserve">03/11/2027</t>
  </si>
  <si>
    <t xml:space="preserve">LOTE-92312</t>
  </si>
  <si>
    <t xml:space="preserve">13/01/2027</t>
  </si>
  <si>
    <t xml:space="preserve">LOTE-76280</t>
  </si>
  <si>
    <t xml:space="preserve">Sulfato Ferroso 300mg</t>
  </si>
  <si>
    <t xml:space="preserve">23/01/2028</t>
  </si>
  <si>
    <t xml:space="preserve">LOTE-23916</t>
  </si>
  <si>
    <t xml:space="preserve">Amoxicilina 600mg</t>
  </si>
  <si>
    <t xml:space="preserve">30/03/2027</t>
  </si>
  <si>
    <t xml:space="preserve">LOTE-34187</t>
  </si>
  <si>
    <t xml:space="preserve">Clonazepam 150mg</t>
  </si>
  <si>
    <t xml:space="preserve">23/12/2026</t>
  </si>
  <si>
    <t xml:space="preserve">LOTE-85992</t>
  </si>
  <si>
    <t xml:space="preserve">Aspirina 850mg</t>
  </si>
  <si>
    <t xml:space="preserve">LOTE-61233</t>
  </si>
  <si>
    <t xml:space="preserve">Ondansetrón 600mg</t>
  </si>
  <si>
    <t xml:space="preserve">24/05/2028</t>
  </si>
  <si>
    <t xml:space="preserve">LOTE-58910</t>
  </si>
  <si>
    <t xml:space="preserve">Doxiciclina 1000mg</t>
  </si>
  <si>
    <t xml:space="preserve">08/11/2027</t>
  </si>
  <si>
    <t xml:space="preserve">LOTE-69500</t>
  </si>
  <si>
    <t xml:space="preserve">México-Guadalajara</t>
  </si>
  <si>
    <t xml:space="preserve">Complejo B 300mg</t>
  </si>
  <si>
    <t xml:space="preserve">05/03/2027</t>
  </si>
  <si>
    <t xml:space="preserve">LOTE-22425</t>
  </si>
  <si>
    <t xml:space="preserve">22/05/2028</t>
  </si>
  <si>
    <t xml:space="preserve">LOTE-35027</t>
  </si>
  <si>
    <t xml:space="preserve">Alprazolam 300mg</t>
  </si>
  <si>
    <t xml:space="preserve">18/10/2028</t>
  </si>
  <si>
    <t xml:space="preserve">LOTE-30976</t>
  </si>
  <si>
    <t xml:space="preserve">Captopril 150mg</t>
  </si>
  <si>
    <t xml:space="preserve">08/11/2028</t>
  </si>
  <si>
    <t xml:space="preserve">LOTE-33796</t>
  </si>
  <si>
    <t xml:space="preserve">Clonazepam 1000mg</t>
  </si>
  <si>
    <t xml:space="preserve">22/07/2027</t>
  </si>
  <si>
    <t xml:space="preserve">LOTE-71451</t>
  </si>
  <si>
    <t xml:space="preserve">30/07/2028</t>
  </si>
  <si>
    <t xml:space="preserve">LOTE-49173</t>
  </si>
  <si>
    <t xml:space="preserve">Clonazepam 850mg</t>
  </si>
  <si>
    <t xml:space="preserve">04/12/2026</t>
  </si>
  <si>
    <t xml:space="preserve">LOTE-61064</t>
  </si>
  <si>
    <t xml:space="preserve">Clopidogrel 850mg</t>
  </si>
  <si>
    <t xml:space="preserve">27/04/2028</t>
  </si>
  <si>
    <t xml:space="preserve">LOTE-12991</t>
  </si>
  <si>
    <t xml:space="preserve">Trazodona 100mg</t>
  </si>
  <si>
    <t xml:space="preserve">02/11/2027</t>
  </si>
  <si>
    <t xml:space="preserve">LOTE-76160</t>
  </si>
  <si>
    <t xml:space="preserve">Sulfato Ferroso 200mg</t>
  </si>
  <si>
    <t xml:space="preserve">08/06/2027</t>
  </si>
  <si>
    <t xml:space="preserve">LOTE-42884</t>
  </si>
  <si>
    <t xml:space="preserve">Metronidazol 600mg</t>
  </si>
  <si>
    <t xml:space="preserve">20/04/2028</t>
  </si>
  <si>
    <t xml:space="preserve">LOTE-23059</t>
  </si>
  <si>
    <t xml:space="preserve">Tramadol 850mg</t>
  </si>
  <si>
    <t xml:space="preserve">27/02/2027</t>
  </si>
  <si>
    <t xml:space="preserve">LOTE-60581</t>
  </si>
  <si>
    <t xml:space="preserve">Azitromicina 500mg</t>
  </si>
  <si>
    <t xml:space="preserve">05/02/2028</t>
  </si>
  <si>
    <t xml:space="preserve">LOTE-65142</t>
  </si>
  <si>
    <t xml:space="preserve">Hidroclorotiazida 400mg</t>
  </si>
  <si>
    <t xml:space="preserve">06/07/2027</t>
  </si>
  <si>
    <t xml:space="preserve">LOTE-73339</t>
  </si>
  <si>
    <t xml:space="preserve">Ciprofloxacino 600mg</t>
  </si>
  <si>
    <t xml:space="preserve">01/10/2026</t>
  </si>
  <si>
    <t xml:space="preserve">LOTE-42115</t>
  </si>
  <si>
    <t xml:space="preserve">Amoxicilina 850mg</t>
  </si>
  <si>
    <t xml:space="preserve">LOTE-16919</t>
  </si>
  <si>
    <t xml:space="preserve">Salbutamol 75mcg</t>
  </si>
  <si>
    <t xml:space="preserve">11/12/2028</t>
  </si>
  <si>
    <t xml:space="preserve">LOTE-39321</t>
  </si>
  <si>
    <t xml:space="preserve">Ácido Fólico 500mg</t>
  </si>
  <si>
    <t xml:space="preserve">05/03/2028</t>
  </si>
  <si>
    <t xml:space="preserve">LOTE-22907</t>
  </si>
  <si>
    <t xml:space="preserve">09/09/2028</t>
  </si>
  <si>
    <t xml:space="preserve">LOTE-25085</t>
  </si>
  <si>
    <t xml:space="preserve">Trazodona 400mg</t>
  </si>
  <si>
    <t xml:space="preserve">09/11/2026</t>
  </si>
  <si>
    <t xml:space="preserve">LOTE-56752</t>
  </si>
  <si>
    <t xml:space="preserve">Cetirizina 100mg</t>
  </si>
  <si>
    <t xml:space="preserve">31/07/2028</t>
  </si>
  <si>
    <t xml:space="preserve">LOTE-64653</t>
  </si>
  <si>
    <t xml:space="preserve">Diazepam 250mg</t>
  </si>
  <si>
    <t xml:space="preserve">21/11/2028</t>
  </si>
  <si>
    <t xml:space="preserve">LOTE-79568</t>
  </si>
  <si>
    <t xml:space="preserve">Aspirina 250mg</t>
  </si>
  <si>
    <t xml:space="preserve">11/01/2027</t>
  </si>
  <si>
    <t xml:space="preserve">LOTE-75922</t>
  </si>
  <si>
    <t xml:space="preserve">Furosemida 600mg</t>
  </si>
  <si>
    <t xml:space="preserve">02/06/2028</t>
  </si>
  <si>
    <t xml:space="preserve">LOTE-99789</t>
  </si>
  <si>
    <t xml:space="preserve">Gabapentina 1000mg</t>
  </si>
  <si>
    <t xml:space="preserve">LOTE-42631</t>
  </si>
  <si>
    <t xml:space="preserve">Cefalexina 200mg</t>
  </si>
  <si>
    <t xml:space="preserve">21/06/2027</t>
  </si>
  <si>
    <t xml:space="preserve">LOTE-44015</t>
  </si>
  <si>
    <t xml:space="preserve">Ibuprofeno 750mg</t>
  </si>
  <si>
    <t xml:space="preserve">24/03/2028</t>
  </si>
  <si>
    <t xml:space="preserve">LOTE-46475</t>
  </si>
  <si>
    <t xml:space="preserve">Sulfato Ferroso 100mg</t>
  </si>
  <si>
    <t xml:space="preserve">04/10/2027</t>
  </si>
  <si>
    <t xml:space="preserve">LOTE-73440</t>
  </si>
  <si>
    <t xml:space="preserve">Prednisona 200mg</t>
  </si>
  <si>
    <t xml:space="preserve">LOTE-27480</t>
  </si>
  <si>
    <t xml:space="preserve">Omeprazol 100mg</t>
  </si>
  <si>
    <t xml:space="preserve">25/11/2027</t>
  </si>
  <si>
    <t xml:space="preserve">LOTE-43826</t>
  </si>
  <si>
    <t xml:space="preserve">Cetirizina 300mg</t>
  </si>
  <si>
    <t xml:space="preserve">31/03/2028</t>
  </si>
  <si>
    <t xml:space="preserve">LOTE-34099</t>
  </si>
  <si>
    <t xml:space="preserve">Cefalexina 300mg</t>
  </si>
  <si>
    <t xml:space="preserve">14/08/2027</t>
  </si>
  <si>
    <t xml:space="preserve">LOTE-20290</t>
  </si>
  <si>
    <t xml:space="preserve">Metformina 400mg</t>
  </si>
  <si>
    <t xml:space="preserve">04/01/2028</t>
  </si>
  <si>
    <t xml:space="preserve">Loperamida 50mg</t>
  </si>
  <si>
    <t xml:space="preserve">25/07/2028</t>
  </si>
  <si>
    <t xml:space="preserve">LOTE-89130</t>
  </si>
  <si>
    <t xml:space="preserve">Aciclovir 250mg</t>
  </si>
  <si>
    <t xml:space="preserve">10/02/2027</t>
  </si>
  <si>
    <t xml:space="preserve">LOTE-38672</t>
  </si>
  <si>
    <t xml:space="preserve">Clindamicina 1000mg</t>
  </si>
  <si>
    <t xml:space="preserve">13/08/2027</t>
  </si>
  <si>
    <t xml:space="preserve">LOTE-67800</t>
  </si>
  <si>
    <t xml:space="preserve">Diazepam 850mg</t>
  </si>
  <si>
    <t xml:space="preserve">17/12/2028</t>
  </si>
  <si>
    <t xml:space="preserve">LOTE-49946</t>
  </si>
  <si>
    <t xml:space="preserve">LOTE-57915</t>
  </si>
  <si>
    <t xml:space="preserve">Levotiroxina 75mcg</t>
  </si>
  <si>
    <t xml:space="preserve">12/10/2028</t>
  </si>
  <si>
    <t xml:space="preserve">LOTE-83899</t>
  </si>
  <si>
    <t xml:space="preserve">Simvastatina 600mg</t>
  </si>
  <si>
    <t xml:space="preserve">17/12/2026</t>
  </si>
  <si>
    <t xml:space="preserve">LOTE-69555</t>
  </si>
  <si>
    <t xml:space="preserve">Dexametasona 50mg</t>
  </si>
  <si>
    <t xml:space="preserve">26/02/2027</t>
  </si>
  <si>
    <t xml:space="preserve">LOTE-84378</t>
  </si>
  <si>
    <t xml:space="preserve">Ibuprofeno 850mg</t>
  </si>
  <si>
    <t xml:space="preserve">29/03/2028</t>
  </si>
  <si>
    <t xml:space="preserve">LOTE-50039</t>
  </si>
  <si>
    <t xml:space="preserve">Fluoxetina 100mg</t>
  </si>
  <si>
    <t xml:space="preserve">10/10/2028</t>
  </si>
  <si>
    <t xml:space="preserve">LOTE-23815</t>
  </si>
  <si>
    <t xml:space="preserve">19/10/2028</t>
  </si>
  <si>
    <t xml:space="preserve">LOTE-95066</t>
  </si>
  <si>
    <t xml:space="preserve">Atorvastatina 1000mg</t>
  </si>
  <si>
    <t xml:space="preserve">29/08/2027</t>
  </si>
  <si>
    <t xml:space="preserve">LOTE-70171</t>
  </si>
  <si>
    <t xml:space="preserve">Prednisona 300mg</t>
  </si>
  <si>
    <t xml:space="preserve">LOTE-80430</t>
  </si>
  <si>
    <t xml:space="preserve">Ácido Fólico 100mg</t>
  </si>
  <si>
    <t xml:space="preserve">09/09/2027</t>
  </si>
  <si>
    <t xml:space="preserve">LOTE-10507</t>
  </si>
  <si>
    <t xml:space="preserve">Simvastatina 100mg</t>
  </si>
  <si>
    <t xml:space="preserve">LOTE-11330</t>
  </si>
  <si>
    <t xml:space="preserve">Diclofenaco 400mg</t>
  </si>
  <si>
    <t xml:space="preserve">15/10/2028</t>
  </si>
  <si>
    <t xml:space="preserve">LOTE-31266</t>
  </si>
  <si>
    <t xml:space="preserve">Simvastatina 850mg</t>
  </si>
  <si>
    <t xml:space="preserve">20/10/2027</t>
  </si>
  <si>
    <t xml:space="preserve">LOTE-65698</t>
  </si>
  <si>
    <t xml:space="preserve">Dexametasona 250mg</t>
  </si>
  <si>
    <t xml:space="preserve">04/10/2028</t>
  </si>
  <si>
    <t xml:space="preserve">LOTE-25048</t>
  </si>
  <si>
    <t xml:space="preserve">04/10/2026</t>
  </si>
  <si>
    <t xml:space="preserve">LOTE-86554</t>
  </si>
  <si>
    <t xml:space="preserve">Amoxicilina 300mg</t>
  </si>
  <si>
    <t xml:space="preserve">19/09/2027</t>
  </si>
  <si>
    <t xml:space="preserve">LOTE-38490</t>
  </si>
  <si>
    <t xml:space="preserve">25/03/2027</t>
  </si>
  <si>
    <t xml:space="preserve">LOTE-46839</t>
  </si>
  <si>
    <t xml:space="preserve">26/01/2028</t>
  </si>
  <si>
    <t xml:space="preserve">LOTE-62771</t>
  </si>
  <si>
    <t xml:space="preserve">Metronidazol 850mg</t>
  </si>
  <si>
    <t xml:space="preserve">01/05/2027</t>
  </si>
  <si>
    <t xml:space="preserve">LOTE-62353</t>
  </si>
  <si>
    <t xml:space="preserve">21/07/2028</t>
  </si>
  <si>
    <t xml:space="preserve">LOTE-41144</t>
  </si>
  <si>
    <t xml:space="preserve">Acetaminofén 500mg</t>
  </si>
  <si>
    <t xml:space="preserve">16/09/2028</t>
  </si>
  <si>
    <t xml:space="preserve">LOTE-65238</t>
  </si>
  <si>
    <t xml:space="preserve">Azitromicina 400mg</t>
  </si>
  <si>
    <t xml:space="preserve">09/06/2027</t>
  </si>
  <si>
    <t xml:space="preserve">LOTE-77649</t>
  </si>
  <si>
    <t xml:space="preserve">24/04/2028</t>
  </si>
  <si>
    <t xml:space="preserve">LOTE-33370</t>
  </si>
  <si>
    <t xml:space="preserve">LOTE-90591</t>
  </si>
  <si>
    <t xml:space="preserve">Hidroclorotiazida 100mg</t>
  </si>
  <si>
    <t xml:space="preserve">22/10/2028</t>
  </si>
  <si>
    <t xml:space="preserve">LOTE-86891</t>
  </si>
  <si>
    <t xml:space="preserve">Metoprolol 250mg</t>
  </si>
  <si>
    <t xml:space="preserve">02/04/2027</t>
  </si>
  <si>
    <t xml:space="preserve">LOTE-99421</t>
  </si>
  <si>
    <t xml:space="preserve">Tramadol 200mg</t>
  </si>
  <si>
    <t xml:space="preserve">LOTE-30650</t>
  </si>
  <si>
    <t xml:space="preserve">08/04/2028</t>
  </si>
  <si>
    <t xml:space="preserve">LOTE-50068</t>
  </si>
  <si>
    <t xml:space="preserve">20/08/2028</t>
  </si>
  <si>
    <t xml:space="preserve">LOTE-28422</t>
  </si>
  <si>
    <t xml:space="preserve">16/12/2027</t>
  </si>
  <si>
    <t xml:space="preserve">LOTE-11618</t>
  </si>
  <si>
    <t xml:space="preserve">Simvastatina 1000mg</t>
  </si>
  <si>
    <t xml:space="preserve">16/04/2028</t>
  </si>
  <si>
    <t xml:space="preserve">LOTE-24853</t>
  </si>
  <si>
    <t xml:space="preserve">20/06/2028</t>
  </si>
  <si>
    <t xml:space="preserve">LOTE-59281</t>
  </si>
  <si>
    <t xml:space="preserve">07/04/2028</t>
  </si>
  <si>
    <t xml:space="preserve">LOTE-97384</t>
  </si>
  <si>
    <t xml:space="preserve">07/01/2027</t>
  </si>
  <si>
    <t xml:space="preserve">LOTE-53174</t>
  </si>
  <si>
    <t xml:space="preserve">10/01/2029</t>
  </si>
  <si>
    <t xml:space="preserve">LOTE-60126</t>
  </si>
  <si>
    <t xml:space="preserve">23/06/2028</t>
  </si>
  <si>
    <t xml:space="preserve">LOTE-33493</t>
  </si>
  <si>
    <t xml:space="preserve">Ranitidina 400mg</t>
  </si>
  <si>
    <t xml:space="preserve">06/09/2028</t>
  </si>
  <si>
    <t xml:space="preserve">LOTE-21809</t>
  </si>
  <si>
    <t xml:space="preserve">Enalapril 50mg</t>
  </si>
  <si>
    <t xml:space="preserve">07/11/2027</t>
  </si>
  <si>
    <t xml:space="preserve">LOTE-19526</t>
  </si>
  <si>
    <t xml:space="preserve">04/01/2029</t>
  </si>
  <si>
    <t xml:space="preserve">LOTE-60586</t>
  </si>
  <si>
    <t xml:space="preserve">Metronidazol 400mg</t>
  </si>
  <si>
    <t xml:space="preserve">02/09/2028</t>
  </si>
  <si>
    <t xml:space="preserve">LOTE-51641</t>
  </si>
  <si>
    <t xml:space="preserve">Atorvastatina 850mg</t>
  </si>
  <si>
    <t xml:space="preserve">LOTE-34741</t>
  </si>
  <si>
    <t xml:space="preserve">Furosemida 850mg</t>
  </si>
  <si>
    <t xml:space="preserve">08/10/2027</t>
  </si>
  <si>
    <t xml:space="preserve">LOTE-36854</t>
  </si>
  <si>
    <t xml:space="preserve">Metronidazol 250mg</t>
  </si>
  <si>
    <t xml:space="preserve">09/11/2028</t>
  </si>
  <si>
    <t xml:space="preserve">LOTE-80626</t>
  </si>
  <si>
    <t xml:space="preserve">11/02/2028</t>
  </si>
  <si>
    <t xml:space="preserve">LOTE-77298</t>
  </si>
  <si>
    <t xml:space="preserve">14/10/2026</t>
  </si>
  <si>
    <t xml:space="preserve">LOTE-92197</t>
  </si>
  <si>
    <t xml:space="preserve">Ranitidina 100mg</t>
  </si>
  <si>
    <t xml:space="preserve">29/04/2028</t>
  </si>
  <si>
    <t xml:space="preserve">LOTE-64722</t>
  </si>
  <si>
    <t xml:space="preserve">Metronidazol 300mg</t>
  </si>
  <si>
    <t xml:space="preserve">LOTE-26256</t>
  </si>
  <si>
    <t xml:space="preserve">Ácido Fólico 150mg</t>
  </si>
  <si>
    <t xml:space="preserve">14/06/2027</t>
  </si>
  <si>
    <t xml:space="preserve">LOTE-32090</t>
  </si>
  <si>
    <t xml:space="preserve">09/07/2027</t>
  </si>
  <si>
    <t xml:space="preserve">LOTE-99793</t>
  </si>
  <si>
    <t xml:space="preserve">Levotiroxina 50mcg</t>
  </si>
  <si>
    <t xml:space="preserve">26/03/2027</t>
  </si>
  <si>
    <t xml:space="preserve">LOTE-88326</t>
  </si>
  <si>
    <t xml:space="preserve">Omeprazol 500mg</t>
  </si>
  <si>
    <t xml:space="preserve">26/11/2028</t>
  </si>
  <si>
    <t xml:space="preserve">LOTE-96294</t>
  </si>
  <si>
    <t xml:space="preserve">09/04/2027</t>
  </si>
  <si>
    <t xml:space="preserve">LOTE-64002</t>
  </si>
  <si>
    <t xml:space="preserve">Amoxicilina 150mg</t>
  </si>
  <si>
    <t xml:space="preserve">22/04/2028</t>
  </si>
  <si>
    <t xml:space="preserve">LOTE-63180</t>
  </si>
  <si>
    <t xml:space="preserve">LOTE-53528</t>
  </si>
  <si>
    <t xml:space="preserve">Cefalexina 50mg</t>
  </si>
  <si>
    <t xml:space="preserve">23/05/2028</t>
  </si>
  <si>
    <t xml:space="preserve">LOTE-23437</t>
  </si>
  <si>
    <t xml:space="preserve">Prednisona 400mg</t>
  </si>
  <si>
    <t xml:space="preserve">27/01/2028</t>
  </si>
  <si>
    <t xml:space="preserve">LOTE-70752</t>
  </si>
  <si>
    <t xml:space="preserve">Aciclovir 400mg</t>
  </si>
  <si>
    <t xml:space="preserve">12/01/2027</t>
  </si>
  <si>
    <t xml:space="preserve">LOTE-78939</t>
  </si>
  <si>
    <t xml:space="preserve">11/08/2027</t>
  </si>
  <si>
    <t xml:space="preserve">LOTE-17167</t>
  </si>
  <si>
    <t xml:space="preserve">Ácido Fólico 750mg</t>
  </si>
  <si>
    <t xml:space="preserve">12/08/2027</t>
  </si>
  <si>
    <t xml:space="preserve">LOTE-49944</t>
  </si>
  <si>
    <t xml:space="preserve">Alprazolam 100mg</t>
  </si>
  <si>
    <t xml:space="preserve">23/05/2027</t>
  </si>
  <si>
    <t xml:space="preserve">LOTE-75881</t>
  </si>
  <si>
    <t xml:space="preserve">Captopril 50mg</t>
  </si>
  <si>
    <t xml:space="preserve">19/05/2027</t>
  </si>
  <si>
    <t xml:space="preserve">LOTE-81431</t>
  </si>
  <si>
    <t xml:space="preserve">29/07/2028</t>
  </si>
  <si>
    <t xml:space="preserve">LOTE-58335</t>
  </si>
  <si>
    <t xml:space="preserve">Fluoxetina 400mg</t>
  </si>
  <si>
    <t xml:space="preserve">13/07/2028</t>
  </si>
  <si>
    <t xml:space="preserve">LOTE-65256</t>
  </si>
  <si>
    <t xml:space="preserve">Diclofenaco 100mg</t>
  </si>
  <si>
    <t xml:space="preserve">20/03/2028</t>
  </si>
  <si>
    <t xml:space="preserve">LOTE-85482</t>
  </si>
  <si>
    <t xml:space="preserve">Acetaminofén 250mg</t>
  </si>
  <si>
    <t xml:space="preserve">15/08/2027</t>
  </si>
  <si>
    <t xml:space="preserve">LOTE-32546</t>
  </si>
  <si>
    <t xml:space="preserve">Tramadol 500mg</t>
  </si>
  <si>
    <t xml:space="preserve">17/09/2027</t>
  </si>
  <si>
    <t xml:space="preserve">LOTE-86743</t>
  </si>
  <si>
    <t xml:space="preserve">Amoxicilina 250mg</t>
  </si>
  <si>
    <t xml:space="preserve">29/07/2027</t>
  </si>
  <si>
    <t xml:space="preserve">LOTE-52513</t>
  </si>
  <si>
    <t xml:space="preserve">Cetirizina 500mg</t>
  </si>
  <si>
    <t xml:space="preserve">26/08/2028</t>
  </si>
  <si>
    <t xml:space="preserve">LOTE-17728</t>
  </si>
  <si>
    <t xml:space="preserve">Salbutamol 25mcg</t>
  </si>
  <si>
    <t xml:space="preserve">28/06/2028</t>
  </si>
  <si>
    <t xml:space="preserve">LOTE-83378</t>
  </si>
  <si>
    <t xml:space="preserve">Fluoxetina 850mg</t>
  </si>
  <si>
    <t xml:space="preserve">LOTE-23906</t>
  </si>
  <si>
    <t xml:space="preserve">Ácido Fólico 300mg</t>
  </si>
  <si>
    <t xml:space="preserve">02/02/2027</t>
  </si>
  <si>
    <t xml:space="preserve">LOTE-53900</t>
  </si>
  <si>
    <t xml:space="preserve">Loperamida 500mg</t>
  </si>
  <si>
    <t xml:space="preserve">03/05/2027</t>
  </si>
  <si>
    <t xml:space="preserve">LOTE-50260</t>
  </si>
  <si>
    <t xml:space="preserve">Vitamina D3 1000mg</t>
  </si>
  <si>
    <t xml:space="preserve">23/09/2028</t>
  </si>
  <si>
    <t xml:space="preserve">LOTE-40860</t>
  </si>
  <si>
    <t xml:space="preserve">Clindamicina 250mg</t>
  </si>
  <si>
    <t xml:space="preserve">LOTE-25172</t>
  </si>
  <si>
    <t xml:space="preserve">06/05/2027</t>
  </si>
  <si>
    <t xml:space="preserve">LOTE-46285</t>
  </si>
  <si>
    <t xml:space="preserve">Doxiciclina 850mg</t>
  </si>
  <si>
    <t xml:space="preserve">11/12/2027</t>
  </si>
  <si>
    <t xml:space="preserve">LOTE-79245</t>
  </si>
  <si>
    <t xml:space="preserve">Hidroclorotiazida 50mg</t>
  </si>
  <si>
    <t xml:space="preserve">31/05/2027</t>
  </si>
  <si>
    <t xml:space="preserve">LOTE-65502</t>
  </si>
  <si>
    <t xml:space="preserve">26/05/2027</t>
  </si>
  <si>
    <t xml:space="preserve">LOTE-33505</t>
  </si>
  <si>
    <t xml:space="preserve">Ácido Fólico 600mg</t>
  </si>
  <si>
    <t xml:space="preserve">21/10/2026</t>
  </si>
  <si>
    <t xml:space="preserve">LOTE-91515</t>
  </si>
  <si>
    <t xml:space="preserve">Sulfato Ferroso 750mg</t>
  </si>
  <si>
    <t xml:space="preserve">17/11/2026</t>
  </si>
  <si>
    <t xml:space="preserve">LOTE-33579</t>
  </si>
  <si>
    <t xml:space="preserve">Sertralina 850mg</t>
  </si>
  <si>
    <t xml:space="preserve">25/01/2028</t>
  </si>
  <si>
    <t xml:space="preserve">LOTE-14188</t>
  </si>
  <si>
    <t xml:space="preserve">Dexametasona 600mg</t>
  </si>
  <si>
    <t xml:space="preserve">23/11/2028</t>
  </si>
  <si>
    <t xml:space="preserve">LOTE-31649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</si>
</sst>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s">
        <v>8</v>
      </c>
      <c r="B2" s="2" t="n">
        <v>120</v>
      </c>
      <c r="C2" s="3" t="n">
        <v>12000</v>
      </c>
      <c r="D2" s="3" t="n">
        <f aca="false">ROUND(C2*1.35,0)</f>
        <v>16200</v>
      </c>
      <c r="E2" s="2" t="s">
        <v>9</v>
      </c>
      <c r="F2" s="2" t="s">
        <v>10</v>
      </c>
      <c r="G2" s="2" t="s">
        <v>11</v>
      </c>
      <c r="H2" s="3" t="n">
        <f aca="false">B2*C2</f>
        <v>1440000</v>
      </c>
    </row>
    <row r="3" customFormat="false" ht="14.25" hidden="false" customHeight="false" outlineLevel="0" collapsed="false">
      <c r="A3" s="2" t="s">
        <v>12</v>
      </c>
      <c r="B3" s="2" t="n">
        <v>48</v>
      </c>
      <c r="C3" s="3" t="n">
        <v>1200</v>
      </c>
      <c r="D3" s="3" t="n">
        <f aca="false">ROUND(C3*1.3,0)</f>
        <v>1560</v>
      </c>
      <c r="E3" s="2" t="s">
        <v>13</v>
      </c>
      <c r="F3" s="2" t="s">
        <v>14</v>
      </c>
      <c r="G3" s="2" t="s">
        <v>15</v>
      </c>
      <c r="H3" s="3" t="n">
        <f aca="false">B3*C3</f>
        <v>57600</v>
      </c>
    </row>
    <row r="4" customFormat="false" ht="14.25" hidden="false" customHeight="false" outlineLevel="0" collapsed="false">
      <c r="A4" s="2" t="s">
        <v>16</v>
      </c>
      <c r="B4" s="2" t="n">
        <v>11</v>
      </c>
      <c r="C4" s="3" t="n">
        <v>8000</v>
      </c>
      <c r="D4" s="3" t="n">
        <f aca="false">ROUND(C4*1.3,0)</f>
        <v>10400</v>
      </c>
      <c r="E4" s="2" t="s">
        <v>17</v>
      </c>
      <c r="F4" s="2" t="s">
        <v>18</v>
      </c>
      <c r="G4" s="2" t="s">
        <v>19</v>
      </c>
      <c r="H4" s="3" t="n">
        <f aca="false">B4*C4</f>
        <v>88000</v>
      </c>
    </row>
    <row r="5" customFormat="false" ht="14.25" hidden="false" customHeight="false" outlineLevel="0" collapsed="false">
      <c r="A5" s="2" t="s">
        <v>20</v>
      </c>
      <c r="B5" s="2" t="n">
        <v>4</v>
      </c>
      <c r="C5" s="3" t="n">
        <v>1000</v>
      </c>
      <c r="D5" s="3" t="n">
        <f aca="false">ROUND(C5*1.15,0)</f>
        <v>1150</v>
      </c>
      <c r="E5" s="2" t="s">
        <v>21</v>
      </c>
      <c r="F5" s="2" t="s">
        <v>22</v>
      </c>
      <c r="G5" s="2" t="s">
        <v>23</v>
      </c>
      <c r="H5" s="3" t="n">
        <f aca="false">B5*C5</f>
        <v>4000</v>
      </c>
    </row>
    <row r="6" customFormat="false" ht="14.25" hidden="false" customHeight="false" outlineLevel="0" collapsed="false">
      <c r="A6" s="2" t="s">
        <v>24</v>
      </c>
      <c r="B6" s="2" t="n">
        <v>8</v>
      </c>
      <c r="C6" s="3" t="n">
        <v>12000</v>
      </c>
      <c r="D6" s="3" t="n">
        <f aca="false">ROUND(C6*1.25,0)</f>
        <v>15000</v>
      </c>
      <c r="E6" s="2" t="s">
        <v>25</v>
      </c>
      <c r="F6" s="2" t="s">
        <v>26</v>
      </c>
      <c r="G6" s="2" t="s">
        <v>27</v>
      </c>
      <c r="H6" s="3" t="n">
        <f aca="false">B6*C6</f>
        <v>96000</v>
      </c>
    </row>
    <row r="7" customFormat="false" ht="14.25" hidden="false" customHeight="false" outlineLevel="0" collapsed="false">
      <c r="A7" s="2" t="s">
        <v>28</v>
      </c>
      <c r="B7" s="2" t="n">
        <v>60</v>
      </c>
      <c r="C7" s="3" t="n">
        <v>4000</v>
      </c>
      <c r="D7" s="3" t="n">
        <f aca="false">ROUND(C7*1.3,0)</f>
        <v>5200</v>
      </c>
      <c r="E7" s="2" t="s">
        <v>29</v>
      </c>
      <c r="F7" s="2" t="s">
        <v>30</v>
      </c>
      <c r="G7" s="2" t="s">
        <v>15</v>
      </c>
      <c r="H7" s="3" t="n">
        <f aca="false">B7*C7</f>
        <v>240000</v>
      </c>
    </row>
    <row r="8" customFormat="false" ht="14.25" hidden="false" customHeight="false" outlineLevel="0" collapsed="false">
      <c r="A8" s="2" t="s">
        <v>31</v>
      </c>
      <c r="B8" s="2" t="n">
        <v>72</v>
      </c>
      <c r="C8" s="3" t="n">
        <v>10000</v>
      </c>
      <c r="D8" s="3" t="n">
        <f aca="false">ROUND(C8*1.35,0)</f>
        <v>13500</v>
      </c>
      <c r="E8" s="2" t="s">
        <v>32</v>
      </c>
      <c r="F8" s="2" t="s">
        <v>33</v>
      </c>
      <c r="G8" s="2" t="s">
        <v>34</v>
      </c>
      <c r="H8" s="3" t="n">
        <f aca="false">B8*C8</f>
        <v>720000</v>
      </c>
    </row>
    <row r="9" customFormat="false" ht="14.25" hidden="false" customHeight="false" outlineLevel="0" collapsed="false">
      <c r="A9" s="2" t="s">
        <v>35</v>
      </c>
      <c r="B9" s="2" t="n">
        <v>59</v>
      </c>
      <c r="C9" s="3" t="n">
        <v>4000</v>
      </c>
      <c r="D9" s="3" t="n">
        <f aca="false">ROUND(C9*1.15,0)</f>
        <v>4600</v>
      </c>
      <c r="E9" s="2" t="s">
        <v>36</v>
      </c>
      <c r="F9" s="2" t="s">
        <v>37</v>
      </c>
      <c r="G9" s="2" t="s">
        <v>38</v>
      </c>
      <c r="H9" s="3" t="n">
        <f aca="false">B9*C9</f>
        <v>236000</v>
      </c>
    </row>
    <row r="10" customFormat="false" ht="14.25" hidden="false" customHeight="false" outlineLevel="0" collapsed="false">
      <c r="A10" s="2" t="s">
        <v>39</v>
      </c>
      <c r="B10" s="2" t="n">
        <v>28</v>
      </c>
      <c r="C10" s="3" t="n">
        <v>4000</v>
      </c>
      <c r="D10" s="3" t="n">
        <f aca="false">ROUND(C10*1.3,0)</f>
        <v>5200</v>
      </c>
      <c r="E10" s="2" t="s">
        <v>40</v>
      </c>
      <c r="F10" s="2" t="s">
        <v>41</v>
      </c>
      <c r="G10" s="2" t="s">
        <v>27</v>
      </c>
      <c r="H10" s="3" t="n">
        <f aca="false">B10*C10</f>
        <v>112000</v>
      </c>
    </row>
    <row r="11" customFormat="false" ht="14.25" hidden="false" customHeight="false" outlineLevel="0" collapsed="false">
      <c r="A11" s="2" t="s">
        <v>42</v>
      </c>
      <c r="B11" s="2" t="n">
        <v>55</v>
      </c>
      <c r="C11" s="3" t="n">
        <v>2500</v>
      </c>
      <c r="D11" s="3" t="n">
        <f aca="false">ROUND(C11*1.15,0)</f>
        <v>2875</v>
      </c>
      <c r="E11" s="2" t="s">
        <v>43</v>
      </c>
      <c r="F11" s="2" t="s">
        <v>44</v>
      </c>
      <c r="G11" s="2" t="s">
        <v>34</v>
      </c>
      <c r="H11" s="3" t="n">
        <f aca="false">B11*C11</f>
        <v>137500</v>
      </c>
    </row>
    <row r="12" customFormat="false" ht="14.25" hidden="false" customHeight="false" outlineLevel="0" collapsed="false">
      <c r="A12" s="2" t="s">
        <v>45</v>
      </c>
      <c r="B12" s="2" t="n">
        <v>19</v>
      </c>
      <c r="C12" s="3" t="n">
        <v>2500</v>
      </c>
      <c r="D12" s="3" t="n">
        <f aca="false">ROUND(C12*1.4,0)</f>
        <v>3500</v>
      </c>
      <c r="E12" s="2" t="s">
        <v>46</v>
      </c>
      <c r="F12" s="2" t="s">
        <v>47</v>
      </c>
      <c r="G12" s="2" t="s">
        <v>15</v>
      </c>
      <c r="H12" s="3" t="n">
        <f aca="false">B12*C12</f>
        <v>47500</v>
      </c>
    </row>
    <row r="13" customFormat="false" ht="14.25" hidden="false" customHeight="false" outlineLevel="0" collapsed="false">
      <c r="A13" s="2" t="s">
        <v>48</v>
      </c>
      <c r="B13" s="2" t="n">
        <v>4</v>
      </c>
      <c r="C13" s="3" t="n">
        <v>10000</v>
      </c>
      <c r="D13" s="3" t="n">
        <f aca="false">ROUND(C13*1.15,0)</f>
        <v>11500</v>
      </c>
      <c r="E13" s="2" t="s">
        <v>49</v>
      </c>
      <c r="F13" s="2" t="s">
        <v>50</v>
      </c>
      <c r="G13" s="2" t="s">
        <v>34</v>
      </c>
      <c r="H13" s="3" t="n">
        <f aca="false">B13*C13</f>
        <v>40000</v>
      </c>
    </row>
    <row r="14" customFormat="false" ht="14.25" hidden="false" customHeight="false" outlineLevel="0" collapsed="false">
      <c r="A14" s="2" t="s">
        <v>51</v>
      </c>
      <c r="B14" s="2" t="n">
        <v>16</v>
      </c>
      <c r="C14" s="3" t="n">
        <v>12000</v>
      </c>
      <c r="D14" s="3" t="n">
        <f aca="false">ROUND(C14*1.3,0)</f>
        <v>15600</v>
      </c>
      <c r="E14" s="2" t="s">
        <v>52</v>
      </c>
      <c r="F14" s="2" t="s">
        <v>53</v>
      </c>
      <c r="G14" s="2" t="s">
        <v>54</v>
      </c>
      <c r="H14" s="3" t="n">
        <f aca="false">B14*C14</f>
        <v>192000</v>
      </c>
    </row>
    <row r="15" customFormat="false" ht="14.25" hidden="false" customHeight="false" outlineLevel="0" collapsed="false">
      <c r="A15" s="2" t="s">
        <v>55</v>
      </c>
      <c r="B15" s="2" t="n">
        <v>131</v>
      </c>
      <c r="C15" s="3" t="n">
        <v>2500</v>
      </c>
      <c r="D15" s="3" t="n">
        <f aca="false">ROUND(C15*1.4,0)</f>
        <v>3500</v>
      </c>
      <c r="E15" s="2" t="s">
        <v>56</v>
      </c>
      <c r="F15" s="2" t="s">
        <v>57</v>
      </c>
      <c r="G15" s="2" t="s">
        <v>58</v>
      </c>
      <c r="H15" s="3" t="n">
        <f aca="false">B15*C15</f>
        <v>327500</v>
      </c>
    </row>
    <row r="16" customFormat="false" ht="14.25" hidden="false" customHeight="false" outlineLevel="0" collapsed="false">
      <c r="A16" s="2" t="s">
        <v>59</v>
      </c>
      <c r="B16" s="2" t="n">
        <v>30</v>
      </c>
      <c r="C16" s="3" t="n">
        <v>8000</v>
      </c>
      <c r="D16" s="3" t="n">
        <f aca="false">ROUND(C16*1.3,0)</f>
        <v>10400</v>
      </c>
      <c r="E16" s="2" t="s">
        <v>60</v>
      </c>
      <c r="F16" s="2" t="s">
        <v>61</v>
      </c>
      <c r="G16" s="2" t="s">
        <v>62</v>
      </c>
      <c r="H16" s="3" t="n">
        <f aca="false">B16*C16</f>
        <v>240000</v>
      </c>
    </row>
    <row r="17" customFormat="false" ht="14.25" hidden="false" customHeight="false" outlineLevel="0" collapsed="false">
      <c r="A17" s="2" t="s">
        <v>63</v>
      </c>
      <c r="B17" s="2" t="n">
        <v>6</v>
      </c>
      <c r="C17" s="3" t="n">
        <v>2500</v>
      </c>
      <c r="D17" s="3" t="n">
        <f aca="false">ROUND(C17*1.2,0)</f>
        <v>3000</v>
      </c>
      <c r="E17" s="2" t="s">
        <v>64</v>
      </c>
      <c r="F17" s="2" t="s">
        <v>65</v>
      </c>
      <c r="G17" s="2" t="s">
        <v>19</v>
      </c>
      <c r="H17" s="3" t="n">
        <f aca="false">B17*C17</f>
        <v>15000</v>
      </c>
    </row>
    <row r="18" customFormat="false" ht="14.25" hidden="false" customHeight="false" outlineLevel="0" collapsed="false">
      <c r="A18" s="2" t="s">
        <v>66</v>
      </c>
      <c r="B18" s="2" t="n">
        <v>11</v>
      </c>
      <c r="C18" s="3" t="n">
        <v>1500</v>
      </c>
      <c r="D18" s="3" t="n">
        <f aca="false">ROUND(C18*1.2,0)</f>
        <v>1800</v>
      </c>
      <c r="E18" s="2" t="s">
        <v>67</v>
      </c>
      <c r="F18" s="2" t="s">
        <v>68</v>
      </c>
      <c r="G18" s="2" t="s">
        <v>69</v>
      </c>
      <c r="H18" s="3" t="n">
        <f aca="false">B18*C18</f>
        <v>16500</v>
      </c>
    </row>
    <row r="19" customFormat="false" ht="14.25" hidden="false" customHeight="false" outlineLevel="0" collapsed="false">
      <c r="A19" s="2" t="s">
        <v>70</v>
      </c>
      <c r="B19" s="2" t="n">
        <v>85</v>
      </c>
      <c r="C19" s="3" t="n">
        <v>4000</v>
      </c>
      <c r="D19" s="3" t="n">
        <f aca="false">ROUND(C19*1.3,0)</f>
        <v>5200</v>
      </c>
      <c r="E19" s="2" t="s">
        <v>71</v>
      </c>
      <c r="F19" s="2" t="s">
        <v>72</v>
      </c>
      <c r="G19" s="2" t="s">
        <v>15</v>
      </c>
      <c r="H19" s="3" t="n">
        <f aca="false">B19*C19</f>
        <v>340000</v>
      </c>
    </row>
    <row r="20" customFormat="false" ht="14.25" hidden="false" customHeight="false" outlineLevel="0" collapsed="false">
      <c r="A20" s="2" t="s">
        <v>73</v>
      </c>
      <c r="B20" s="2" t="n">
        <v>63</v>
      </c>
      <c r="C20" s="3" t="n">
        <v>500</v>
      </c>
      <c r="D20" s="3" t="n">
        <f aca="false">ROUND(C20*1.35,0)</f>
        <v>675</v>
      </c>
      <c r="E20" s="2" t="s">
        <v>74</v>
      </c>
      <c r="F20" s="2" t="s">
        <v>75</v>
      </c>
      <c r="G20" s="2" t="s">
        <v>76</v>
      </c>
      <c r="H20" s="3" t="n">
        <f aca="false">B20*C20</f>
        <v>31500</v>
      </c>
    </row>
    <row r="21" customFormat="false" ht="14.25" hidden="false" customHeight="false" outlineLevel="0" collapsed="false">
      <c r="A21" s="2" t="s">
        <v>77</v>
      </c>
      <c r="B21" s="2" t="n">
        <v>124</v>
      </c>
      <c r="C21" s="3" t="n">
        <v>1500</v>
      </c>
      <c r="D21" s="3" t="n">
        <f aca="false">ROUND(C21*1.3,0)</f>
        <v>1950</v>
      </c>
      <c r="E21" s="2" t="s">
        <v>78</v>
      </c>
      <c r="F21" s="2" t="s">
        <v>79</v>
      </c>
      <c r="G21" s="2" t="s">
        <v>11</v>
      </c>
      <c r="H21" s="3" t="n">
        <f aca="false">B21*C21</f>
        <v>186000</v>
      </c>
    </row>
    <row r="22" customFormat="false" ht="14.25" hidden="false" customHeight="false" outlineLevel="0" collapsed="false">
      <c r="A22" s="2" t="s">
        <v>80</v>
      </c>
      <c r="B22" s="2" t="n">
        <v>64</v>
      </c>
      <c r="C22" s="3" t="n">
        <v>2500</v>
      </c>
      <c r="D22" s="3" t="n">
        <f aca="false">ROUND(C22*1.2,0)</f>
        <v>3000</v>
      </c>
      <c r="E22" s="2" t="s">
        <v>81</v>
      </c>
      <c r="F22" s="2" t="s">
        <v>82</v>
      </c>
      <c r="G22" s="2" t="s">
        <v>54</v>
      </c>
      <c r="H22" s="3" t="n">
        <f aca="false">B22*C22</f>
        <v>160000</v>
      </c>
    </row>
    <row r="23" customFormat="false" ht="14.25" hidden="false" customHeight="false" outlineLevel="0" collapsed="false">
      <c r="A23" s="2" t="s">
        <v>83</v>
      </c>
      <c r="B23" s="2" t="n">
        <v>100</v>
      </c>
      <c r="C23" s="3" t="n">
        <v>15000</v>
      </c>
      <c r="D23" s="3" t="n">
        <f aca="false">ROUND(C23*1.35,0)</f>
        <v>20250</v>
      </c>
      <c r="E23" s="2" t="s">
        <v>84</v>
      </c>
      <c r="F23" s="2" t="s">
        <v>85</v>
      </c>
      <c r="G23" s="2" t="s">
        <v>69</v>
      </c>
      <c r="H23" s="3" t="n">
        <f aca="false">B23*C23</f>
        <v>1500000</v>
      </c>
    </row>
    <row r="24" customFormat="false" ht="14.25" hidden="false" customHeight="false" outlineLevel="0" collapsed="false">
      <c r="A24" s="2" t="s">
        <v>86</v>
      </c>
      <c r="B24" s="2" t="n">
        <v>10</v>
      </c>
      <c r="C24" s="3" t="n">
        <v>3500</v>
      </c>
      <c r="D24" s="3" t="n">
        <f aca="false">ROUND(C24*1.2,0)</f>
        <v>4200</v>
      </c>
      <c r="E24" s="2" t="s">
        <v>81</v>
      </c>
      <c r="F24" s="2" t="s">
        <v>87</v>
      </c>
      <c r="G24" s="2" t="s">
        <v>62</v>
      </c>
      <c r="H24" s="3" t="n">
        <f aca="false">B24*C24</f>
        <v>35000</v>
      </c>
    </row>
    <row r="25" customFormat="false" ht="14.25" hidden="false" customHeight="false" outlineLevel="0" collapsed="false">
      <c r="A25" s="2" t="s">
        <v>88</v>
      </c>
      <c r="B25" s="2" t="n">
        <v>126</v>
      </c>
      <c r="C25" s="3" t="n">
        <v>4000</v>
      </c>
      <c r="D25" s="3" t="n">
        <f aca="false">ROUND(C25*1.35,0)</f>
        <v>5400</v>
      </c>
      <c r="E25" s="2" t="s">
        <v>89</v>
      </c>
      <c r="F25" s="2" t="s">
        <v>90</v>
      </c>
      <c r="G25" s="2" t="s">
        <v>11</v>
      </c>
      <c r="H25" s="3" t="n">
        <f aca="false">B25*C25</f>
        <v>504000</v>
      </c>
    </row>
    <row r="26" customFormat="false" ht="14.25" hidden="false" customHeight="false" outlineLevel="0" collapsed="false">
      <c r="A26" s="2" t="s">
        <v>91</v>
      </c>
      <c r="B26" s="2" t="n">
        <v>144</v>
      </c>
      <c r="C26" s="3" t="n">
        <v>1000</v>
      </c>
      <c r="D26" s="3" t="n">
        <f aca="false">ROUND(C26*1.25,0)</f>
        <v>1250</v>
      </c>
      <c r="E26" s="2" t="s">
        <v>60</v>
      </c>
      <c r="F26" s="2" t="s">
        <v>92</v>
      </c>
      <c r="G26" s="2" t="s">
        <v>34</v>
      </c>
      <c r="H26" s="3" t="n">
        <f aca="false">B26*C26</f>
        <v>144000</v>
      </c>
    </row>
    <row r="27" customFormat="false" ht="14.25" hidden="false" customHeight="false" outlineLevel="0" collapsed="false">
      <c r="A27" s="2" t="s">
        <v>93</v>
      </c>
      <c r="B27" s="2" t="n">
        <v>69</v>
      </c>
      <c r="C27" s="3" t="n">
        <v>10000</v>
      </c>
      <c r="D27" s="3" t="n">
        <f aca="false">ROUND(C27*1.3,0)</f>
        <v>13000</v>
      </c>
      <c r="E27" s="2" t="s">
        <v>94</v>
      </c>
      <c r="F27" s="2" t="s">
        <v>95</v>
      </c>
      <c r="G27" s="2" t="s">
        <v>69</v>
      </c>
      <c r="H27" s="3" t="n">
        <f aca="false">B27*C27</f>
        <v>690000</v>
      </c>
    </row>
    <row r="28" customFormat="false" ht="14.25" hidden="false" customHeight="false" outlineLevel="0" collapsed="false">
      <c r="A28" s="2" t="s">
        <v>96</v>
      </c>
      <c r="B28" s="2" t="n">
        <v>95</v>
      </c>
      <c r="C28" s="3" t="n">
        <v>1500</v>
      </c>
      <c r="D28" s="3" t="n">
        <f aca="false">ROUND(C28*1.15,0)</f>
        <v>1725</v>
      </c>
      <c r="E28" s="2" t="s">
        <v>97</v>
      </c>
      <c r="F28" s="2" t="s">
        <v>98</v>
      </c>
      <c r="G28" s="2" t="s">
        <v>23</v>
      </c>
      <c r="H28" s="3" t="n">
        <f aca="false">B28*C28</f>
        <v>142500</v>
      </c>
    </row>
    <row r="29" customFormat="false" ht="14.25" hidden="false" customHeight="false" outlineLevel="0" collapsed="false">
      <c r="A29" s="2" t="s">
        <v>99</v>
      </c>
      <c r="B29" s="2" t="n">
        <v>134</v>
      </c>
      <c r="C29" s="3" t="n">
        <v>1500</v>
      </c>
      <c r="D29" s="3" t="n">
        <f aca="false">ROUND(C29*1.35,0)</f>
        <v>2025</v>
      </c>
      <c r="E29" s="2" t="s">
        <v>100</v>
      </c>
      <c r="F29" s="2" t="s">
        <v>101</v>
      </c>
      <c r="G29" s="2" t="s">
        <v>102</v>
      </c>
      <c r="H29" s="3" t="n">
        <f aca="false">B29*C29</f>
        <v>201000</v>
      </c>
    </row>
    <row r="30" customFormat="false" ht="14.25" hidden="false" customHeight="false" outlineLevel="0" collapsed="false">
      <c r="A30" s="2" t="s">
        <v>103</v>
      </c>
      <c r="B30" s="2" t="n">
        <v>80</v>
      </c>
      <c r="C30" s="3" t="n">
        <v>800</v>
      </c>
      <c r="D30" s="3" t="n">
        <f aca="false">ROUND(C30*1.15,0)</f>
        <v>920</v>
      </c>
      <c r="E30" s="2" t="s">
        <v>104</v>
      </c>
      <c r="F30" s="2" t="s">
        <v>105</v>
      </c>
      <c r="G30" s="2" t="s">
        <v>15</v>
      </c>
      <c r="H30" s="3" t="n">
        <f aca="false">B30*C30</f>
        <v>64000</v>
      </c>
    </row>
    <row r="31" customFormat="false" ht="14.25" hidden="false" customHeight="false" outlineLevel="0" collapsed="false">
      <c r="A31" s="2" t="s">
        <v>106</v>
      </c>
      <c r="B31" s="2" t="n">
        <v>80</v>
      </c>
      <c r="C31" s="3" t="n">
        <v>5000</v>
      </c>
      <c r="D31" s="3" t="n">
        <f aca="false">ROUND(C31*1.2,0)</f>
        <v>6000</v>
      </c>
      <c r="E31" s="2" t="s">
        <v>107</v>
      </c>
      <c r="F31" s="2" t="s">
        <v>108</v>
      </c>
      <c r="G31" s="2" t="s">
        <v>102</v>
      </c>
      <c r="H31" s="3" t="n">
        <f aca="false">B31*C31</f>
        <v>400000</v>
      </c>
    </row>
    <row r="32" customFormat="false" ht="14.25" hidden="false" customHeight="false" outlineLevel="0" collapsed="false">
      <c r="A32" s="2" t="s">
        <v>109</v>
      </c>
      <c r="B32" s="2" t="n">
        <v>12</v>
      </c>
      <c r="C32" s="3" t="n">
        <v>1500</v>
      </c>
      <c r="D32" s="3" t="n">
        <f aca="false">ROUND(C32*1.25,0)</f>
        <v>1875</v>
      </c>
      <c r="E32" s="2" t="s">
        <v>110</v>
      </c>
      <c r="F32" s="2" t="s">
        <v>111</v>
      </c>
      <c r="G32" s="2" t="s">
        <v>19</v>
      </c>
      <c r="H32" s="3" t="n">
        <f aca="false">B32*C32</f>
        <v>18000</v>
      </c>
    </row>
    <row r="33" customFormat="false" ht="14.25" hidden="false" customHeight="false" outlineLevel="0" collapsed="false">
      <c r="A33" s="2" t="s">
        <v>106</v>
      </c>
      <c r="B33" s="2" t="n">
        <v>107</v>
      </c>
      <c r="C33" s="3" t="n">
        <v>500</v>
      </c>
      <c r="D33" s="3" t="n">
        <f aca="false">ROUND(C33*1.3,0)</f>
        <v>650</v>
      </c>
      <c r="E33" s="2" t="s">
        <v>112</v>
      </c>
      <c r="F33" s="2" t="s">
        <v>113</v>
      </c>
      <c r="G33" s="2" t="s">
        <v>76</v>
      </c>
      <c r="H33" s="3" t="n">
        <f aca="false">B33*C33</f>
        <v>53500</v>
      </c>
    </row>
    <row r="34" customFormat="false" ht="14.25" hidden="false" customHeight="false" outlineLevel="0" collapsed="false">
      <c r="A34" s="2" t="s">
        <v>114</v>
      </c>
      <c r="B34" s="2" t="n">
        <v>98</v>
      </c>
      <c r="C34" s="3" t="n">
        <v>500</v>
      </c>
      <c r="D34" s="3" t="n">
        <f aca="false">ROUND(C34*1.35,0)</f>
        <v>675</v>
      </c>
      <c r="E34" s="2" t="s">
        <v>115</v>
      </c>
      <c r="F34" s="2" t="s">
        <v>116</v>
      </c>
      <c r="G34" s="2" t="s">
        <v>15</v>
      </c>
      <c r="H34" s="3" t="n">
        <f aca="false">B34*C34</f>
        <v>49000</v>
      </c>
    </row>
    <row r="35" customFormat="false" ht="14.25" hidden="false" customHeight="false" outlineLevel="0" collapsed="false">
      <c r="A35" s="2" t="s">
        <v>117</v>
      </c>
      <c r="B35" s="2" t="n">
        <v>66</v>
      </c>
      <c r="C35" s="3" t="n">
        <v>10000</v>
      </c>
      <c r="D35" s="3" t="n">
        <f aca="false">ROUND(C35*1.4,0)</f>
        <v>14000</v>
      </c>
      <c r="E35" s="2" t="s">
        <v>118</v>
      </c>
      <c r="F35" s="2" t="s">
        <v>119</v>
      </c>
      <c r="G35" s="2" t="s">
        <v>23</v>
      </c>
      <c r="H35" s="3" t="n">
        <f aca="false">B35*C35</f>
        <v>660000</v>
      </c>
    </row>
    <row r="36" customFormat="false" ht="14.25" hidden="false" customHeight="false" outlineLevel="0" collapsed="false">
      <c r="A36" s="2" t="s">
        <v>120</v>
      </c>
      <c r="B36" s="2" t="n">
        <v>149</v>
      </c>
      <c r="C36" s="3" t="n">
        <v>12000</v>
      </c>
      <c r="D36" s="3" t="n">
        <f aca="false">ROUND(C36*1.3,0)</f>
        <v>15600</v>
      </c>
      <c r="E36" s="2" t="s">
        <v>121</v>
      </c>
      <c r="F36" s="2" t="s">
        <v>122</v>
      </c>
      <c r="G36" s="2" t="s">
        <v>15</v>
      </c>
      <c r="H36" s="3" t="n">
        <f aca="false">B36*C36</f>
        <v>1788000</v>
      </c>
    </row>
    <row r="37" customFormat="false" ht="14.25" hidden="false" customHeight="false" outlineLevel="0" collapsed="false">
      <c r="A37" s="2" t="s">
        <v>123</v>
      </c>
      <c r="B37" s="2" t="n">
        <v>8</v>
      </c>
      <c r="C37" s="3" t="n">
        <v>4000</v>
      </c>
      <c r="D37" s="3" t="n">
        <f aca="false">ROUND(C37*1.35,0)</f>
        <v>5400</v>
      </c>
      <c r="E37" s="2" t="s">
        <v>124</v>
      </c>
      <c r="F37" s="2" t="s">
        <v>125</v>
      </c>
      <c r="G37" s="2" t="s">
        <v>69</v>
      </c>
      <c r="H37" s="3" t="n">
        <f aca="false">B37*C37</f>
        <v>32000</v>
      </c>
    </row>
    <row r="38" customFormat="false" ht="14.25" hidden="false" customHeight="false" outlineLevel="0" collapsed="false">
      <c r="A38" s="2" t="s">
        <v>126</v>
      </c>
      <c r="B38" s="2" t="n">
        <v>29</v>
      </c>
      <c r="C38" s="3" t="n">
        <v>15000</v>
      </c>
      <c r="D38" s="3" t="n">
        <f aca="false">ROUND(C38*1.35,0)</f>
        <v>20250</v>
      </c>
      <c r="E38" s="2" t="s">
        <v>127</v>
      </c>
      <c r="F38" s="2" t="s">
        <v>128</v>
      </c>
      <c r="G38" s="2" t="s">
        <v>62</v>
      </c>
      <c r="H38" s="3" t="n">
        <f aca="false">B38*C38</f>
        <v>435000</v>
      </c>
    </row>
    <row r="39" customFormat="false" ht="14.25" hidden="false" customHeight="false" outlineLevel="0" collapsed="false">
      <c r="A39" s="2" t="s">
        <v>129</v>
      </c>
      <c r="B39" s="2" t="n">
        <v>78</v>
      </c>
      <c r="C39" s="3" t="n">
        <v>1500</v>
      </c>
      <c r="D39" s="3" t="n">
        <f aca="false">ROUND(C39*1.4,0)</f>
        <v>2100</v>
      </c>
      <c r="E39" s="2" t="s">
        <v>130</v>
      </c>
      <c r="F39" s="2" t="s">
        <v>131</v>
      </c>
      <c r="G39" s="2" t="s">
        <v>54</v>
      </c>
      <c r="H39" s="3" t="n">
        <f aca="false">B39*C39</f>
        <v>117000</v>
      </c>
    </row>
    <row r="40" customFormat="false" ht="14.25" hidden="false" customHeight="false" outlineLevel="0" collapsed="false">
      <c r="A40" s="2" t="s">
        <v>132</v>
      </c>
      <c r="B40" s="2" t="n">
        <v>114</v>
      </c>
      <c r="C40" s="3" t="n">
        <v>15000</v>
      </c>
      <c r="D40" s="3" t="n">
        <f aca="false">ROUND(C40*1.2,0)</f>
        <v>18000</v>
      </c>
      <c r="E40" s="2" t="s">
        <v>133</v>
      </c>
      <c r="F40" s="2" t="s">
        <v>134</v>
      </c>
      <c r="G40" s="2" t="s">
        <v>19</v>
      </c>
      <c r="H40" s="3" t="n">
        <f aca="false">B40*C40</f>
        <v>1710000</v>
      </c>
    </row>
    <row r="41" customFormat="false" ht="14.25" hidden="false" customHeight="false" outlineLevel="0" collapsed="false">
      <c r="A41" s="2" t="s">
        <v>135</v>
      </c>
      <c r="B41" s="2" t="n">
        <v>111</v>
      </c>
      <c r="C41" s="3" t="n">
        <v>2500</v>
      </c>
      <c r="D41" s="3" t="n">
        <f aca="false">ROUND(C41*1.2,0)</f>
        <v>3000</v>
      </c>
      <c r="E41" s="2" t="s">
        <v>136</v>
      </c>
      <c r="F41" s="2" t="s">
        <v>137</v>
      </c>
      <c r="G41" s="2" t="s">
        <v>76</v>
      </c>
      <c r="H41" s="3" t="n">
        <f aca="false">B41*C41</f>
        <v>277500</v>
      </c>
    </row>
    <row r="42" customFormat="false" ht="14.25" hidden="false" customHeight="false" outlineLevel="0" collapsed="false">
      <c r="A42" s="2" t="s">
        <v>138</v>
      </c>
      <c r="B42" s="2" t="n">
        <v>35</v>
      </c>
      <c r="C42" s="3" t="n">
        <v>1500</v>
      </c>
      <c r="D42" s="3" t="n">
        <f aca="false">ROUND(C42*1.3,0)</f>
        <v>1950</v>
      </c>
      <c r="E42" s="2" t="s">
        <v>139</v>
      </c>
      <c r="F42" s="2" t="s">
        <v>140</v>
      </c>
      <c r="G42" s="2" t="s">
        <v>34</v>
      </c>
      <c r="H42" s="3" t="n">
        <f aca="false">B42*C42</f>
        <v>52500</v>
      </c>
    </row>
    <row r="43" customFormat="false" ht="14.25" hidden="false" customHeight="false" outlineLevel="0" collapsed="false">
      <c r="A43" s="2" t="s">
        <v>141</v>
      </c>
      <c r="B43" s="2" t="n">
        <v>44</v>
      </c>
      <c r="C43" s="3" t="n">
        <v>1200</v>
      </c>
      <c r="D43" s="3" t="n">
        <f aca="false">ROUND(C43*1.3,0)</f>
        <v>1560</v>
      </c>
      <c r="E43" s="2" t="s">
        <v>142</v>
      </c>
      <c r="F43" s="2" t="s">
        <v>143</v>
      </c>
      <c r="G43" s="2" t="s">
        <v>23</v>
      </c>
      <c r="H43" s="3" t="n">
        <f aca="false">B43*C43</f>
        <v>52800</v>
      </c>
    </row>
    <row r="44" customFormat="false" ht="14.25" hidden="false" customHeight="false" outlineLevel="0" collapsed="false">
      <c r="A44" s="2" t="s">
        <v>144</v>
      </c>
      <c r="B44" s="2" t="n">
        <v>98</v>
      </c>
      <c r="C44" s="3" t="n">
        <v>15000</v>
      </c>
      <c r="D44" s="3" t="n">
        <f aca="false">ROUND(C44*1.4,0)</f>
        <v>21000</v>
      </c>
      <c r="E44" s="2" t="s">
        <v>145</v>
      </c>
      <c r="F44" s="2" t="s">
        <v>146</v>
      </c>
      <c r="G44" s="2" t="s">
        <v>102</v>
      </c>
      <c r="H44" s="3" t="n">
        <f aca="false">B44*C44</f>
        <v>1470000</v>
      </c>
    </row>
    <row r="45" customFormat="false" ht="14.25" hidden="false" customHeight="false" outlineLevel="0" collapsed="false">
      <c r="A45" s="2" t="s">
        <v>147</v>
      </c>
      <c r="B45" s="2" t="n">
        <v>9</v>
      </c>
      <c r="C45" s="3" t="n">
        <v>3500</v>
      </c>
      <c r="D45" s="3" t="n">
        <f aca="false">ROUND(C45*1.35,0)</f>
        <v>4725</v>
      </c>
      <c r="E45" s="2" t="s">
        <v>148</v>
      </c>
      <c r="F45" s="2" t="s">
        <v>149</v>
      </c>
      <c r="G45" s="2" t="s">
        <v>34</v>
      </c>
      <c r="H45" s="3" t="n">
        <f aca="false">B45*C45</f>
        <v>31500</v>
      </c>
    </row>
    <row r="46" customFormat="false" ht="14.25" hidden="false" customHeight="false" outlineLevel="0" collapsed="false">
      <c r="A46" s="2" t="s">
        <v>150</v>
      </c>
      <c r="B46" s="2" t="n">
        <v>91</v>
      </c>
      <c r="C46" s="3" t="n">
        <v>4000</v>
      </c>
      <c r="D46" s="3" t="n">
        <f aca="false">ROUND(C46*1.4,0)</f>
        <v>5600</v>
      </c>
      <c r="E46" s="2" t="s">
        <v>151</v>
      </c>
      <c r="F46" s="2" t="s">
        <v>152</v>
      </c>
      <c r="G46" s="2" t="s">
        <v>69</v>
      </c>
      <c r="H46" s="3" t="n">
        <f aca="false">B46*C46</f>
        <v>364000</v>
      </c>
    </row>
    <row r="47" customFormat="false" ht="14.25" hidden="false" customHeight="false" outlineLevel="0" collapsed="false">
      <c r="A47" s="2" t="s">
        <v>153</v>
      </c>
      <c r="B47" s="2" t="n">
        <v>104</v>
      </c>
      <c r="C47" s="3" t="n">
        <v>12000</v>
      </c>
      <c r="D47" s="3" t="n">
        <f aca="false">ROUND(C47*1.2,0)</f>
        <v>14400</v>
      </c>
      <c r="E47" s="2" t="s">
        <v>154</v>
      </c>
      <c r="F47" s="2" t="s">
        <v>155</v>
      </c>
      <c r="G47" s="2" t="s">
        <v>156</v>
      </c>
      <c r="H47" s="3" t="n">
        <f aca="false">B47*C47</f>
        <v>1248000</v>
      </c>
    </row>
    <row r="48" customFormat="false" ht="14.25" hidden="false" customHeight="false" outlineLevel="0" collapsed="false">
      <c r="A48" s="2" t="s">
        <v>157</v>
      </c>
      <c r="B48" s="2" t="n">
        <v>13</v>
      </c>
      <c r="C48" s="3" t="n">
        <v>1200</v>
      </c>
      <c r="D48" s="3" t="n">
        <f aca="false">ROUND(C48*1.3,0)</f>
        <v>1560</v>
      </c>
      <c r="E48" s="2" t="s">
        <v>158</v>
      </c>
      <c r="F48" s="2" t="s">
        <v>159</v>
      </c>
      <c r="G48" s="2" t="s">
        <v>54</v>
      </c>
      <c r="H48" s="3" t="n">
        <f aca="false">B48*C48</f>
        <v>15600</v>
      </c>
    </row>
    <row r="49" customFormat="false" ht="14.25" hidden="false" customHeight="false" outlineLevel="0" collapsed="false">
      <c r="A49" s="2" t="s">
        <v>160</v>
      </c>
      <c r="B49" s="2" t="n">
        <v>95</v>
      </c>
      <c r="C49" s="3" t="n">
        <v>1000</v>
      </c>
      <c r="D49" s="3" t="n">
        <f aca="false">ROUND(C49*1.4,0)</f>
        <v>1400</v>
      </c>
      <c r="E49" s="2" t="s">
        <v>161</v>
      </c>
      <c r="F49" s="2" t="s">
        <v>162</v>
      </c>
      <c r="G49" s="2" t="s">
        <v>27</v>
      </c>
      <c r="H49" s="3" t="n">
        <f aca="false">B49*C49</f>
        <v>95000</v>
      </c>
    </row>
    <row r="50" customFormat="false" ht="14.25" hidden="false" customHeight="false" outlineLevel="0" collapsed="false">
      <c r="A50" s="2" t="s">
        <v>163</v>
      </c>
      <c r="B50" s="2" t="n">
        <v>46</v>
      </c>
      <c r="C50" s="3" t="n">
        <v>500</v>
      </c>
      <c r="D50" s="3" t="n">
        <f aca="false">ROUND(C50*1.3,0)</f>
        <v>650</v>
      </c>
      <c r="E50" s="2" t="s">
        <v>164</v>
      </c>
      <c r="F50" s="2" t="s">
        <v>165</v>
      </c>
      <c r="G50" s="2" t="s">
        <v>11</v>
      </c>
      <c r="H50" s="3" t="n">
        <f aca="false">B50*C50</f>
        <v>23000</v>
      </c>
    </row>
    <row r="51" customFormat="false" ht="14.25" hidden="false" customHeight="false" outlineLevel="0" collapsed="false">
      <c r="A51" s="2" t="s">
        <v>166</v>
      </c>
      <c r="B51" s="2" t="n">
        <v>89</v>
      </c>
      <c r="C51" s="3" t="n">
        <v>2000</v>
      </c>
      <c r="D51" s="3" t="n">
        <f aca="false">ROUND(C51*1.3,0)</f>
        <v>2600</v>
      </c>
      <c r="E51" s="2" t="s">
        <v>167</v>
      </c>
      <c r="F51" s="2" t="s">
        <v>168</v>
      </c>
      <c r="G51" s="2" t="s">
        <v>15</v>
      </c>
      <c r="H51" s="3" t="n">
        <f aca="false">B51*C51</f>
        <v>178000</v>
      </c>
    </row>
    <row r="52" customFormat="false" ht="14.25" hidden="false" customHeight="false" outlineLevel="0" collapsed="false">
      <c r="A52" s="2" t="s">
        <v>169</v>
      </c>
      <c r="B52" s="2" t="n">
        <v>100</v>
      </c>
      <c r="C52" s="3" t="n">
        <v>1500</v>
      </c>
      <c r="D52" s="3" t="n">
        <f aca="false">ROUND(C52*1.3,0)</f>
        <v>1950</v>
      </c>
      <c r="E52" s="2" t="s">
        <v>170</v>
      </c>
      <c r="F52" s="2" t="s">
        <v>171</v>
      </c>
      <c r="G52" s="2" t="s">
        <v>19</v>
      </c>
      <c r="H52" s="3" t="n">
        <f aca="false">B52*C52</f>
        <v>150000</v>
      </c>
    </row>
    <row r="53" customFormat="false" ht="14.25" hidden="false" customHeight="false" outlineLevel="0" collapsed="false">
      <c r="A53" s="2" t="s">
        <v>172</v>
      </c>
      <c r="B53" s="2" t="n">
        <v>141</v>
      </c>
      <c r="C53" s="3" t="n">
        <v>5000</v>
      </c>
      <c r="D53" s="3" t="n">
        <f aca="false">ROUND(C53*1.3,0)</f>
        <v>6500</v>
      </c>
      <c r="E53" s="2" t="s">
        <v>133</v>
      </c>
      <c r="F53" s="2" t="s">
        <v>173</v>
      </c>
      <c r="G53" s="2" t="s">
        <v>156</v>
      </c>
      <c r="H53" s="3" t="n">
        <f aca="false">B53*C53</f>
        <v>705000</v>
      </c>
    </row>
    <row r="54" customFormat="false" ht="14.25" hidden="false" customHeight="false" outlineLevel="0" collapsed="false">
      <c r="A54" s="2" t="s">
        <v>174</v>
      </c>
      <c r="B54" s="2" t="n">
        <v>32</v>
      </c>
      <c r="C54" s="3" t="n">
        <v>2500</v>
      </c>
      <c r="D54" s="3" t="n">
        <f aca="false">ROUND(C54*1.2,0)</f>
        <v>3000</v>
      </c>
      <c r="E54" s="2" t="s">
        <v>175</v>
      </c>
      <c r="F54" s="2" t="s">
        <v>176</v>
      </c>
      <c r="G54" s="2" t="s">
        <v>62</v>
      </c>
      <c r="H54" s="3" t="n">
        <f aca="false">B54*C54</f>
        <v>80000</v>
      </c>
    </row>
    <row r="55" customFormat="false" ht="14.25" hidden="false" customHeight="false" outlineLevel="0" collapsed="false">
      <c r="A55" s="2" t="s">
        <v>109</v>
      </c>
      <c r="B55" s="2" t="n">
        <v>68</v>
      </c>
      <c r="C55" s="3" t="n">
        <v>500</v>
      </c>
      <c r="D55" s="3" t="n">
        <f aca="false">ROUND(C55*1.25,0)</f>
        <v>625</v>
      </c>
      <c r="E55" s="2" t="s">
        <v>177</v>
      </c>
      <c r="F55" s="2" t="s">
        <v>178</v>
      </c>
      <c r="G55" s="2" t="s">
        <v>69</v>
      </c>
      <c r="H55" s="3" t="n">
        <f aca="false">B55*C55</f>
        <v>34000</v>
      </c>
    </row>
    <row r="56" customFormat="false" ht="14.25" hidden="false" customHeight="false" outlineLevel="0" collapsed="false">
      <c r="A56" s="2" t="s">
        <v>99</v>
      </c>
      <c r="B56" s="2" t="n">
        <v>141</v>
      </c>
      <c r="C56" s="3" t="n">
        <v>10000</v>
      </c>
      <c r="D56" s="3" t="n">
        <f aca="false">ROUND(C56*1.25,0)</f>
        <v>12500</v>
      </c>
      <c r="E56" s="2" t="s">
        <v>179</v>
      </c>
      <c r="F56" s="2" t="s">
        <v>180</v>
      </c>
      <c r="G56" s="2" t="s">
        <v>156</v>
      </c>
      <c r="H56" s="3" t="n">
        <f aca="false">B56*C56</f>
        <v>1410000</v>
      </c>
    </row>
    <row r="57" customFormat="false" ht="14.25" hidden="false" customHeight="false" outlineLevel="0" collapsed="false">
      <c r="A57" s="2" t="s">
        <v>181</v>
      </c>
      <c r="B57" s="2" t="n">
        <v>9</v>
      </c>
      <c r="C57" s="3" t="n">
        <v>2000</v>
      </c>
      <c r="D57" s="3" t="n">
        <f aca="false">ROUND(C57*1.35,0)</f>
        <v>2700</v>
      </c>
      <c r="E57" s="2" t="s">
        <v>182</v>
      </c>
      <c r="F57" s="2" t="s">
        <v>183</v>
      </c>
      <c r="G57" s="2" t="s">
        <v>38</v>
      </c>
      <c r="H57" s="3" t="n">
        <f aca="false">B57*C57</f>
        <v>18000</v>
      </c>
    </row>
    <row r="58" customFormat="false" ht="14.25" hidden="false" customHeight="false" outlineLevel="0" collapsed="false">
      <c r="A58" s="2" t="s">
        <v>184</v>
      </c>
      <c r="B58" s="2" t="n">
        <v>39</v>
      </c>
      <c r="C58" s="3" t="n">
        <v>12000</v>
      </c>
      <c r="D58" s="3" t="n">
        <f aca="false">ROUND(C58*1.3,0)</f>
        <v>15600</v>
      </c>
      <c r="E58" s="2" t="s">
        <v>185</v>
      </c>
      <c r="F58" s="2" t="s">
        <v>186</v>
      </c>
      <c r="G58" s="2" t="s">
        <v>38</v>
      </c>
      <c r="H58" s="3" t="n">
        <f aca="false">B58*C58</f>
        <v>468000</v>
      </c>
    </row>
    <row r="59" customFormat="false" ht="14.25" hidden="false" customHeight="false" outlineLevel="0" collapsed="false">
      <c r="A59" s="2" t="s">
        <v>91</v>
      </c>
      <c r="B59" s="2" t="n">
        <v>135</v>
      </c>
      <c r="C59" s="3" t="n">
        <v>4000</v>
      </c>
      <c r="D59" s="3" t="n">
        <f aca="false">ROUND(C59*1.4,0)</f>
        <v>5600</v>
      </c>
      <c r="E59" s="2" t="s">
        <v>187</v>
      </c>
      <c r="F59" s="2" t="s">
        <v>188</v>
      </c>
      <c r="G59" s="2" t="s">
        <v>11</v>
      </c>
      <c r="H59" s="3" t="n">
        <f aca="false">B59*C59</f>
        <v>540000</v>
      </c>
    </row>
    <row r="60" customFormat="false" ht="14.25" hidden="false" customHeight="false" outlineLevel="0" collapsed="false">
      <c r="A60" s="2" t="s">
        <v>123</v>
      </c>
      <c r="B60" s="2" t="n">
        <v>144</v>
      </c>
      <c r="C60" s="3" t="n">
        <v>3500</v>
      </c>
      <c r="D60" s="3" t="n">
        <f aca="false">ROUND(C60*1.25,0)</f>
        <v>4375</v>
      </c>
      <c r="E60" s="2" t="s">
        <v>189</v>
      </c>
      <c r="F60" s="2" t="s">
        <v>190</v>
      </c>
      <c r="G60" s="2" t="s">
        <v>27</v>
      </c>
      <c r="H60" s="3" t="n">
        <f aca="false">B60*C60</f>
        <v>504000</v>
      </c>
    </row>
    <row r="61" customFormat="false" ht="14.25" hidden="false" customHeight="false" outlineLevel="0" collapsed="false">
      <c r="A61" s="2" t="s">
        <v>191</v>
      </c>
      <c r="B61" s="2" t="n">
        <v>78</v>
      </c>
      <c r="C61" s="3" t="n">
        <v>1500</v>
      </c>
      <c r="D61" s="3" t="n">
        <f aca="false">ROUND(C61*1.35,0)</f>
        <v>2025</v>
      </c>
      <c r="E61" s="2" t="s">
        <v>192</v>
      </c>
      <c r="F61" s="2" t="s">
        <v>193</v>
      </c>
      <c r="G61" s="2" t="s">
        <v>76</v>
      </c>
      <c r="H61" s="3" t="n">
        <f aca="false">B61*C61</f>
        <v>117000</v>
      </c>
    </row>
    <row r="62" customFormat="false" ht="14.25" hidden="false" customHeight="false" outlineLevel="0" collapsed="false">
      <c r="A62" s="2" t="s">
        <v>194</v>
      </c>
      <c r="B62" s="2" t="n">
        <v>106</v>
      </c>
      <c r="C62" s="3" t="n">
        <v>1200</v>
      </c>
      <c r="D62" s="3" t="n">
        <f aca="false">ROUND(C62*1.35,0)</f>
        <v>1620</v>
      </c>
      <c r="E62" s="2" t="s">
        <v>195</v>
      </c>
      <c r="F62" s="2" t="s">
        <v>196</v>
      </c>
      <c r="G62" s="2" t="s">
        <v>58</v>
      </c>
      <c r="H62" s="3" t="n">
        <f aca="false">B62*C62</f>
        <v>127200</v>
      </c>
    </row>
    <row r="63" customFormat="false" ht="14.25" hidden="false" customHeight="false" outlineLevel="0" collapsed="false">
      <c r="A63" s="2" t="s">
        <v>197</v>
      </c>
      <c r="B63" s="2" t="n">
        <v>12</v>
      </c>
      <c r="C63" s="3" t="n">
        <v>8000</v>
      </c>
      <c r="D63" s="3" t="n">
        <f aca="false">ROUND(C63*1.35,0)</f>
        <v>10800</v>
      </c>
      <c r="E63" s="2" t="s">
        <v>198</v>
      </c>
      <c r="F63" s="2" t="s">
        <v>199</v>
      </c>
      <c r="G63" s="2" t="s">
        <v>15</v>
      </c>
      <c r="H63" s="3" t="n">
        <f aca="false">B63*C63</f>
        <v>96000</v>
      </c>
    </row>
    <row r="64" customFormat="false" ht="14.25" hidden="false" customHeight="false" outlineLevel="0" collapsed="false">
      <c r="A64" s="2" t="s">
        <v>200</v>
      </c>
      <c r="B64" s="2" t="n">
        <v>43</v>
      </c>
      <c r="C64" s="3" t="n">
        <v>1000</v>
      </c>
      <c r="D64" s="3" t="n">
        <f aca="false">ROUND(C64*1.35,0)</f>
        <v>1350</v>
      </c>
      <c r="E64" s="2" t="s">
        <v>201</v>
      </c>
      <c r="F64" s="2" t="s">
        <v>202</v>
      </c>
      <c r="G64" s="2" t="s">
        <v>23</v>
      </c>
      <c r="H64" s="3" t="n">
        <f aca="false">B64*C64</f>
        <v>43000</v>
      </c>
    </row>
    <row r="65" customFormat="false" ht="14.25" hidden="false" customHeight="false" outlineLevel="0" collapsed="false">
      <c r="A65" s="2" t="s">
        <v>203</v>
      </c>
      <c r="B65" s="2" t="n">
        <v>64</v>
      </c>
      <c r="C65" s="3" t="n">
        <v>15000</v>
      </c>
      <c r="D65" s="3" t="n">
        <f aca="false">ROUND(C65*1.3,0)</f>
        <v>19500</v>
      </c>
      <c r="E65" s="2" t="s">
        <v>204</v>
      </c>
      <c r="F65" s="2" t="s">
        <v>205</v>
      </c>
      <c r="G65" s="2" t="s">
        <v>58</v>
      </c>
      <c r="H65" s="3" t="n">
        <f aca="false">B65*C65</f>
        <v>960000</v>
      </c>
    </row>
    <row r="66" customFormat="false" ht="14.25" hidden="false" customHeight="false" outlineLevel="0" collapsed="false">
      <c r="A66" s="2" t="s">
        <v>206</v>
      </c>
      <c r="B66" s="2" t="n">
        <v>82</v>
      </c>
      <c r="C66" s="3" t="n">
        <v>1200</v>
      </c>
      <c r="D66" s="3" t="n">
        <f aca="false">ROUND(C66*1.2,0)</f>
        <v>1440</v>
      </c>
      <c r="E66" s="2" t="s">
        <v>207</v>
      </c>
      <c r="F66" s="2" t="s">
        <v>208</v>
      </c>
      <c r="G66" s="2" t="s">
        <v>69</v>
      </c>
      <c r="H66" s="3" t="n">
        <f aca="false">B66*C66</f>
        <v>98400</v>
      </c>
    </row>
    <row r="67" customFormat="false" ht="14.25" hidden="false" customHeight="false" outlineLevel="0" collapsed="false">
      <c r="A67" s="2" t="s">
        <v>209</v>
      </c>
      <c r="B67" s="2" t="n">
        <v>6</v>
      </c>
      <c r="C67" s="3" t="n">
        <v>800</v>
      </c>
      <c r="D67" s="3" t="n">
        <f aca="false">ROUND(C67*1.2,0)</f>
        <v>960</v>
      </c>
      <c r="E67" s="2" t="s">
        <v>210</v>
      </c>
      <c r="F67" s="2" t="s">
        <v>211</v>
      </c>
      <c r="G67" s="2" t="s">
        <v>69</v>
      </c>
      <c r="H67" s="3" t="n">
        <f aca="false">B67*C67</f>
        <v>4800</v>
      </c>
    </row>
    <row r="68" customFormat="false" ht="14.25" hidden="false" customHeight="false" outlineLevel="0" collapsed="false">
      <c r="A68" s="2" t="s">
        <v>212</v>
      </c>
      <c r="B68" s="2" t="n">
        <v>83</v>
      </c>
      <c r="C68" s="3" t="n">
        <v>6500</v>
      </c>
      <c r="D68" s="3" t="n">
        <f aca="false">ROUND(C68*1.2,0)</f>
        <v>7800</v>
      </c>
      <c r="E68" s="2" t="s">
        <v>213</v>
      </c>
      <c r="F68" s="2" t="s">
        <v>214</v>
      </c>
      <c r="G68" s="2" t="s">
        <v>15</v>
      </c>
      <c r="H68" s="3" t="n">
        <f aca="false">B68*C68</f>
        <v>539500</v>
      </c>
    </row>
    <row r="69" customFormat="false" ht="14.25" hidden="false" customHeight="false" outlineLevel="0" collapsed="false">
      <c r="A69" s="2" t="s">
        <v>215</v>
      </c>
      <c r="B69" s="2" t="n">
        <v>150</v>
      </c>
      <c r="C69" s="3" t="n">
        <v>1200</v>
      </c>
      <c r="D69" s="3" t="n">
        <f aca="false">ROUND(C69*1.35,0)</f>
        <v>1620</v>
      </c>
      <c r="E69" s="2" t="s">
        <v>216</v>
      </c>
      <c r="F69" s="2" t="s">
        <v>217</v>
      </c>
      <c r="G69" s="2" t="s">
        <v>34</v>
      </c>
      <c r="H69" s="3" t="n">
        <f aca="false">B69*C69</f>
        <v>180000</v>
      </c>
    </row>
    <row r="70" customFormat="false" ht="14.25" hidden="false" customHeight="false" outlineLevel="0" collapsed="false">
      <c r="A70" s="2" t="s">
        <v>218</v>
      </c>
      <c r="B70" s="2" t="n">
        <v>136</v>
      </c>
      <c r="C70" s="3" t="n">
        <v>10000</v>
      </c>
      <c r="D70" s="3" t="n">
        <f aca="false">ROUND(C70*1.15,0)</f>
        <v>11500</v>
      </c>
      <c r="E70" s="2" t="s">
        <v>219</v>
      </c>
      <c r="F70" s="2" t="s">
        <v>220</v>
      </c>
      <c r="G70" s="2" t="s">
        <v>58</v>
      </c>
      <c r="H70" s="3" t="n">
        <f aca="false">B70*C70</f>
        <v>1360000</v>
      </c>
    </row>
    <row r="71" customFormat="false" ht="14.25" hidden="false" customHeight="false" outlineLevel="0" collapsed="false">
      <c r="A71" s="2" t="s">
        <v>221</v>
      </c>
      <c r="B71" s="2" t="n">
        <v>41</v>
      </c>
      <c r="C71" s="3" t="n">
        <v>2500</v>
      </c>
      <c r="D71" s="3" t="n">
        <f aca="false">ROUND(C71*1.4,0)</f>
        <v>3500</v>
      </c>
      <c r="E71" s="2" t="s">
        <v>222</v>
      </c>
      <c r="F71" s="2" t="s">
        <v>223</v>
      </c>
      <c r="G71" s="2" t="s">
        <v>156</v>
      </c>
      <c r="H71" s="3" t="n">
        <f aca="false">B71*C71</f>
        <v>102500</v>
      </c>
    </row>
    <row r="72" customFormat="false" ht="14.25" hidden="false" customHeight="false" outlineLevel="0" collapsed="false">
      <c r="A72" s="2" t="s">
        <v>224</v>
      </c>
      <c r="B72" s="2" t="n">
        <v>139</v>
      </c>
      <c r="C72" s="3" t="n">
        <v>1500</v>
      </c>
      <c r="D72" s="3" t="n">
        <f aca="false">ROUND(C72*1.2,0)</f>
        <v>1800</v>
      </c>
      <c r="E72" s="2" t="s">
        <v>225</v>
      </c>
      <c r="F72" s="2" t="s">
        <v>226</v>
      </c>
      <c r="G72" s="2" t="s">
        <v>38</v>
      </c>
      <c r="H72" s="3" t="n">
        <f aca="false">B72*C72</f>
        <v>208500</v>
      </c>
    </row>
    <row r="73" customFormat="false" ht="14.25" hidden="false" customHeight="false" outlineLevel="0" collapsed="false">
      <c r="A73" s="2" t="s">
        <v>227</v>
      </c>
      <c r="B73" s="2" t="n">
        <v>81</v>
      </c>
      <c r="C73" s="3" t="n">
        <v>5000</v>
      </c>
      <c r="D73" s="3" t="n">
        <f aca="false">ROUND(C73*1.2,0)</f>
        <v>6000</v>
      </c>
      <c r="E73" s="2" t="s">
        <v>228</v>
      </c>
      <c r="F73" s="2" t="s">
        <v>229</v>
      </c>
      <c r="G73" s="2" t="s">
        <v>23</v>
      </c>
      <c r="H73" s="3" t="n">
        <f aca="false">B73*C73</f>
        <v>405000</v>
      </c>
    </row>
    <row r="74" customFormat="false" ht="14.25" hidden="false" customHeight="false" outlineLevel="0" collapsed="false">
      <c r="A74" s="2" t="s">
        <v>230</v>
      </c>
      <c r="B74" s="2" t="n">
        <v>62</v>
      </c>
      <c r="C74" s="3" t="n">
        <v>1500</v>
      </c>
      <c r="D74" s="3" t="n">
        <f aca="false">ROUND(C74*1.4,0)</f>
        <v>2100</v>
      </c>
      <c r="E74" s="2" t="s">
        <v>231</v>
      </c>
      <c r="F74" s="2" t="s">
        <v>232</v>
      </c>
      <c r="G74" s="2" t="s">
        <v>58</v>
      </c>
      <c r="H74" s="3" t="n">
        <f aca="false">B74*C74</f>
        <v>93000</v>
      </c>
    </row>
    <row r="75" customFormat="false" ht="14.25" hidden="false" customHeight="false" outlineLevel="0" collapsed="false">
      <c r="A75" s="2" t="s">
        <v>39</v>
      </c>
      <c r="B75" s="2" t="n">
        <v>108</v>
      </c>
      <c r="C75" s="3" t="n">
        <v>1500</v>
      </c>
      <c r="D75" s="3" t="n">
        <f aca="false">ROUND(C75*1.2,0)</f>
        <v>1800</v>
      </c>
      <c r="E75" s="2" t="s">
        <v>233</v>
      </c>
      <c r="F75" s="2" t="s">
        <v>234</v>
      </c>
      <c r="G75" s="2" t="s">
        <v>19</v>
      </c>
      <c r="H75" s="3" t="n">
        <f aca="false">B75*C75</f>
        <v>162000</v>
      </c>
    </row>
    <row r="76" customFormat="false" ht="14.25" hidden="false" customHeight="false" outlineLevel="0" collapsed="false">
      <c r="A76" s="2" t="s">
        <v>93</v>
      </c>
      <c r="B76" s="2" t="n">
        <v>52</v>
      </c>
      <c r="C76" s="3" t="n">
        <v>6500</v>
      </c>
      <c r="D76" s="3" t="n">
        <f aca="false">ROUND(C76*1.25,0)</f>
        <v>8125</v>
      </c>
      <c r="E76" s="2" t="s">
        <v>235</v>
      </c>
      <c r="F76" s="2" t="s">
        <v>236</v>
      </c>
      <c r="G76" s="2" t="s">
        <v>19</v>
      </c>
      <c r="H76" s="3" t="n">
        <f aca="false">B76*C76</f>
        <v>338000</v>
      </c>
    </row>
    <row r="77" customFormat="false" ht="14.25" hidden="false" customHeight="false" outlineLevel="0" collapsed="false">
      <c r="A77" s="2" t="s">
        <v>237</v>
      </c>
      <c r="B77" s="2" t="n">
        <v>129</v>
      </c>
      <c r="C77" s="3" t="n">
        <v>2500</v>
      </c>
      <c r="D77" s="3" t="n">
        <f aca="false">ROUND(C77*1.15,0)</f>
        <v>2875</v>
      </c>
      <c r="E77" s="2" t="s">
        <v>238</v>
      </c>
      <c r="F77" s="2" t="s">
        <v>239</v>
      </c>
      <c r="G77" s="2" t="s">
        <v>69</v>
      </c>
      <c r="H77" s="3" t="n">
        <f aca="false">B77*C77</f>
        <v>322500</v>
      </c>
    </row>
    <row r="78" customFormat="false" ht="14.25" hidden="false" customHeight="false" outlineLevel="0" collapsed="false">
      <c r="A78" s="2" t="s">
        <v>240</v>
      </c>
      <c r="B78" s="2" t="n">
        <v>132</v>
      </c>
      <c r="C78" s="3" t="n">
        <v>15000</v>
      </c>
      <c r="D78" s="3" t="n">
        <f aca="false">ROUND(C78*1.2,0)</f>
        <v>18000</v>
      </c>
      <c r="E78" s="2" t="s">
        <v>241</v>
      </c>
      <c r="F78" s="2" t="s">
        <v>242</v>
      </c>
      <c r="G78" s="2" t="s">
        <v>15</v>
      </c>
      <c r="H78" s="3" t="n">
        <f aca="false">B78*C78</f>
        <v>1980000</v>
      </c>
    </row>
    <row r="79" customFormat="false" ht="14.25" hidden="false" customHeight="false" outlineLevel="0" collapsed="false">
      <c r="A79" s="2" t="s">
        <v>243</v>
      </c>
      <c r="B79" s="2" t="n">
        <v>41</v>
      </c>
      <c r="C79" s="3" t="n">
        <v>4000</v>
      </c>
      <c r="D79" s="3" t="n">
        <f aca="false">ROUND(C79*1.4,0)</f>
        <v>5600</v>
      </c>
      <c r="E79" s="2" t="s">
        <v>244</v>
      </c>
      <c r="F79" s="2" t="s">
        <v>245</v>
      </c>
      <c r="G79" s="2" t="s">
        <v>69</v>
      </c>
      <c r="H79" s="3" t="n">
        <f aca="false">B79*C79</f>
        <v>164000</v>
      </c>
    </row>
    <row r="80" customFormat="false" ht="14.25" hidden="false" customHeight="false" outlineLevel="0" collapsed="false">
      <c r="A80" s="2" t="s">
        <v>246</v>
      </c>
      <c r="B80" s="2" t="n">
        <v>119</v>
      </c>
      <c r="C80" s="3" t="n">
        <v>1000</v>
      </c>
      <c r="D80" s="3" t="n">
        <f aca="false">ROUND(C80*1.15,0)</f>
        <v>1150</v>
      </c>
      <c r="E80" s="2" t="s">
        <v>133</v>
      </c>
      <c r="F80" s="2" t="s">
        <v>247</v>
      </c>
      <c r="G80" s="2" t="s">
        <v>102</v>
      </c>
      <c r="H80" s="3" t="n">
        <f aca="false">B80*C80</f>
        <v>119000</v>
      </c>
    </row>
    <row r="81" customFormat="false" ht="14.25" hidden="false" customHeight="false" outlineLevel="0" collapsed="false">
      <c r="A81" s="2" t="s">
        <v>248</v>
      </c>
      <c r="B81" s="2" t="n">
        <v>91</v>
      </c>
      <c r="C81" s="3" t="n">
        <v>10000</v>
      </c>
      <c r="D81" s="3" t="n">
        <f aca="false">ROUND(C81*1.2,0)</f>
        <v>12000</v>
      </c>
      <c r="E81" s="2" t="s">
        <v>249</v>
      </c>
      <c r="F81" s="2" t="s">
        <v>250</v>
      </c>
      <c r="G81" s="2" t="s">
        <v>69</v>
      </c>
      <c r="H81" s="3" t="n">
        <f aca="false">B81*C81</f>
        <v>910000</v>
      </c>
    </row>
    <row r="82" customFormat="false" ht="14.25" hidden="false" customHeight="false" outlineLevel="0" collapsed="false">
      <c r="A82" s="2" t="s">
        <v>251</v>
      </c>
      <c r="B82" s="2" t="n">
        <v>11</v>
      </c>
      <c r="C82" s="3" t="n">
        <v>2500</v>
      </c>
      <c r="D82" s="3" t="n">
        <f aca="false">ROUND(C82*1.2,0)</f>
        <v>3000</v>
      </c>
      <c r="E82" s="2" t="s">
        <v>252</v>
      </c>
      <c r="F82" s="2" t="s">
        <v>253</v>
      </c>
      <c r="G82" s="2" t="s">
        <v>254</v>
      </c>
      <c r="H82" s="3" t="n">
        <f aca="false">B82*C82</f>
        <v>27500</v>
      </c>
    </row>
    <row r="83" customFormat="false" ht="14.25" hidden="false" customHeight="false" outlineLevel="0" collapsed="false">
      <c r="A83" s="2" t="s">
        <v>255</v>
      </c>
      <c r="B83" s="2" t="n">
        <v>104</v>
      </c>
      <c r="C83" s="3" t="n">
        <v>2500</v>
      </c>
      <c r="D83" s="3" t="n">
        <f aca="false">ROUND(C83*1.35,0)</f>
        <v>3375</v>
      </c>
      <c r="E83" s="2" t="s">
        <v>256</v>
      </c>
      <c r="F83" s="2" t="s">
        <v>257</v>
      </c>
      <c r="G83" s="2" t="s">
        <v>54</v>
      </c>
      <c r="H83" s="3" t="n">
        <f aca="false">B83*C83</f>
        <v>260000</v>
      </c>
    </row>
    <row r="84" customFormat="false" ht="14.25" hidden="false" customHeight="false" outlineLevel="0" collapsed="false">
      <c r="A84" s="2" t="s">
        <v>129</v>
      </c>
      <c r="B84" s="2" t="n">
        <v>22</v>
      </c>
      <c r="C84" s="3" t="n">
        <v>8000</v>
      </c>
      <c r="D84" s="3" t="n">
        <f aca="false">ROUND(C84*1.35,0)</f>
        <v>10800</v>
      </c>
      <c r="E84" s="2" t="s">
        <v>258</v>
      </c>
      <c r="F84" s="2" t="s">
        <v>259</v>
      </c>
      <c r="G84" s="2" t="s">
        <v>54</v>
      </c>
      <c r="H84" s="3" t="n">
        <f aca="false">B84*C84</f>
        <v>176000</v>
      </c>
    </row>
    <row r="85" customFormat="false" ht="14.25" hidden="false" customHeight="false" outlineLevel="0" collapsed="false">
      <c r="A85" s="2" t="s">
        <v>260</v>
      </c>
      <c r="B85" s="2" t="n">
        <v>67</v>
      </c>
      <c r="C85" s="3" t="n">
        <v>3500</v>
      </c>
      <c r="D85" s="3" t="n">
        <f aca="false">ROUND(C85*1.15,0)</f>
        <v>4025</v>
      </c>
      <c r="E85" s="2" t="s">
        <v>261</v>
      </c>
      <c r="F85" s="2" t="s">
        <v>262</v>
      </c>
      <c r="G85" s="2" t="s">
        <v>27</v>
      </c>
      <c r="H85" s="3" t="n">
        <f aca="false">B85*C85</f>
        <v>234500</v>
      </c>
    </row>
    <row r="86" customFormat="false" ht="14.25" hidden="false" customHeight="false" outlineLevel="0" collapsed="false">
      <c r="A86" s="2" t="s">
        <v>263</v>
      </c>
      <c r="B86" s="2" t="n">
        <v>85</v>
      </c>
      <c r="C86" s="3" t="n">
        <v>6500</v>
      </c>
      <c r="D86" s="3" t="n">
        <f aca="false">ROUND(C86*1.3,0)</f>
        <v>8450</v>
      </c>
      <c r="E86" s="2" t="s">
        <v>264</v>
      </c>
      <c r="F86" s="2" t="s">
        <v>265</v>
      </c>
      <c r="G86" s="2" t="s">
        <v>58</v>
      </c>
      <c r="H86" s="3" t="n">
        <f aca="false">B86*C86</f>
        <v>552500</v>
      </c>
    </row>
    <row r="87" customFormat="false" ht="14.25" hidden="false" customHeight="false" outlineLevel="0" collapsed="false">
      <c r="A87" s="2" t="s">
        <v>266</v>
      </c>
      <c r="B87" s="2" t="n">
        <v>48</v>
      </c>
      <c r="C87" s="3" t="n">
        <v>1000</v>
      </c>
      <c r="D87" s="3" t="n">
        <f aca="false">ROUND(C87*1.25,0)</f>
        <v>1250</v>
      </c>
      <c r="E87" s="2" t="s">
        <v>267</v>
      </c>
      <c r="F87" s="2" t="s">
        <v>268</v>
      </c>
      <c r="G87" s="2" t="s">
        <v>15</v>
      </c>
      <c r="H87" s="3" t="n">
        <f aca="false">B87*C87</f>
        <v>48000</v>
      </c>
    </row>
    <row r="88" customFormat="false" ht="14.25" hidden="false" customHeight="false" outlineLevel="0" collapsed="false">
      <c r="A88" s="2" t="s">
        <v>129</v>
      </c>
      <c r="B88" s="2" t="n">
        <v>13</v>
      </c>
      <c r="C88" s="3" t="n">
        <v>3000</v>
      </c>
      <c r="D88" s="3" t="n">
        <f aca="false">ROUND(C88*1.25,0)</f>
        <v>3750</v>
      </c>
      <c r="E88" s="2" t="s">
        <v>269</v>
      </c>
      <c r="F88" s="2" t="s">
        <v>270</v>
      </c>
      <c r="G88" s="2" t="s">
        <v>254</v>
      </c>
      <c r="H88" s="3" t="n">
        <f aca="false">B88*C88</f>
        <v>39000</v>
      </c>
    </row>
    <row r="89" customFormat="false" ht="14.25" hidden="false" customHeight="false" outlineLevel="0" collapsed="false">
      <c r="A89" s="2" t="s">
        <v>271</v>
      </c>
      <c r="B89" s="2" t="n">
        <v>104</v>
      </c>
      <c r="C89" s="3" t="n">
        <v>2000</v>
      </c>
      <c r="D89" s="3" t="n">
        <f aca="false">ROUND(C89*1.35,0)</f>
        <v>2700</v>
      </c>
      <c r="E89" s="2" t="s">
        <v>272</v>
      </c>
      <c r="F89" s="2" t="s">
        <v>273</v>
      </c>
      <c r="G89" s="2" t="s">
        <v>54</v>
      </c>
      <c r="H89" s="3" t="n">
        <f aca="false">B89*C89</f>
        <v>208000</v>
      </c>
    </row>
    <row r="90" customFormat="false" ht="14.25" hidden="false" customHeight="false" outlineLevel="0" collapsed="false">
      <c r="A90" s="2" t="s">
        <v>274</v>
      </c>
      <c r="B90" s="2" t="n">
        <v>55</v>
      </c>
      <c r="C90" s="3" t="n">
        <v>1200</v>
      </c>
      <c r="D90" s="3" t="n">
        <f aca="false">ROUND(C90*1.3,0)</f>
        <v>1560</v>
      </c>
      <c r="E90" s="2" t="s">
        <v>275</v>
      </c>
      <c r="F90" s="2" t="s">
        <v>276</v>
      </c>
      <c r="G90" s="2" t="s">
        <v>15</v>
      </c>
      <c r="H90" s="3" t="n">
        <f aca="false">B90*C90</f>
        <v>66000</v>
      </c>
    </row>
    <row r="91" customFormat="false" ht="14.25" hidden="false" customHeight="false" outlineLevel="0" collapsed="false">
      <c r="A91" s="2" t="s">
        <v>277</v>
      </c>
      <c r="B91" s="2" t="n">
        <v>61</v>
      </c>
      <c r="C91" s="3" t="n">
        <v>3500</v>
      </c>
      <c r="D91" s="3" t="n">
        <f aca="false">ROUND(C91*1.3,0)</f>
        <v>4550</v>
      </c>
      <c r="E91" s="2" t="s">
        <v>278</v>
      </c>
      <c r="F91" s="2" t="s">
        <v>279</v>
      </c>
      <c r="G91" s="2" t="s">
        <v>69</v>
      </c>
      <c r="H91" s="3" t="n">
        <f aca="false">B91*C91</f>
        <v>213500</v>
      </c>
    </row>
    <row r="92" customFormat="false" ht="14.25" hidden="false" customHeight="false" outlineLevel="0" collapsed="false">
      <c r="A92" s="2" t="s">
        <v>280</v>
      </c>
      <c r="B92" s="2" t="n">
        <v>97</v>
      </c>
      <c r="C92" s="3" t="n">
        <v>500</v>
      </c>
      <c r="D92" s="3" t="n">
        <f aca="false">ROUND(C92*1.15,0)</f>
        <v>575</v>
      </c>
      <c r="E92" s="2" t="s">
        <v>281</v>
      </c>
      <c r="F92" s="2" t="s">
        <v>282</v>
      </c>
      <c r="G92" s="2" t="s">
        <v>62</v>
      </c>
      <c r="H92" s="3" t="n">
        <f aca="false">B92*C92</f>
        <v>48500</v>
      </c>
    </row>
    <row r="93" customFormat="false" ht="14.25" hidden="false" customHeight="false" outlineLevel="0" collapsed="false">
      <c r="A93" s="2" t="s">
        <v>283</v>
      </c>
      <c r="B93" s="2" t="n">
        <v>139</v>
      </c>
      <c r="C93" s="3" t="n">
        <v>10000</v>
      </c>
      <c r="D93" s="3" t="n">
        <f aca="false">ROUND(C93*1.35,0)</f>
        <v>13500</v>
      </c>
      <c r="E93" s="2" t="s">
        <v>284</v>
      </c>
      <c r="F93" s="2" t="s">
        <v>285</v>
      </c>
      <c r="G93" s="2" t="s">
        <v>19</v>
      </c>
      <c r="H93" s="3" t="n">
        <f aca="false">B93*C93</f>
        <v>1390000</v>
      </c>
    </row>
    <row r="94" customFormat="false" ht="14.25" hidden="false" customHeight="false" outlineLevel="0" collapsed="false">
      <c r="A94" s="2" t="s">
        <v>286</v>
      </c>
      <c r="B94" s="2" t="n">
        <v>20</v>
      </c>
      <c r="C94" s="3" t="n">
        <v>800</v>
      </c>
      <c r="D94" s="3" t="n">
        <f aca="false">ROUND(C94*1.3,0)</f>
        <v>1040</v>
      </c>
      <c r="E94" s="2" t="s">
        <v>287</v>
      </c>
      <c r="F94" s="2" t="s">
        <v>288</v>
      </c>
      <c r="G94" s="2" t="s">
        <v>102</v>
      </c>
      <c r="H94" s="3" t="n">
        <f aca="false">B94*C94</f>
        <v>16000</v>
      </c>
    </row>
    <row r="95" customFormat="false" ht="14.25" hidden="false" customHeight="false" outlineLevel="0" collapsed="false">
      <c r="A95" s="2" t="s">
        <v>289</v>
      </c>
      <c r="B95" s="2" t="n">
        <v>139</v>
      </c>
      <c r="C95" s="3" t="n">
        <v>800</v>
      </c>
      <c r="D95" s="3" t="n">
        <f aca="false">ROUND(C95*1.3,0)</f>
        <v>1040</v>
      </c>
      <c r="E95" s="2" t="s">
        <v>290</v>
      </c>
      <c r="F95" s="2" t="s">
        <v>291</v>
      </c>
      <c r="G95" s="2" t="s">
        <v>62</v>
      </c>
      <c r="H95" s="3" t="n">
        <f aca="false">B95*C95</f>
        <v>111200</v>
      </c>
    </row>
    <row r="96" customFormat="false" ht="14.25" hidden="false" customHeight="false" outlineLevel="0" collapsed="false">
      <c r="A96" s="2" t="s">
        <v>292</v>
      </c>
      <c r="B96" s="2" t="n">
        <v>80</v>
      </c>
      <c r="C96" s="3" t="n">
        <v>6500</v>
      </c>
      <c r="D96" s="3" t="n">
        <f aca="false">ROUND(C96*1.35,0)</f>
        <v>8775</v>
      </c>
      <c r="E96" s="2" t="s">
        <v>293</v>
      </c>
      <c r="F96" s="2" t="s">
        <v>294</v>
      </c>
      <c r="G96" s="2" t="s">
        <v>19</v>
      </c>
      <c r="H96" s="3" t="n">
        <f aca="false">B96*C96</f>
        <v>520000</v>
      </c>
    </row>
    <row r="97" customFormat="false" ht="14.25" hidden="false" customHeight="false" outlineLevel="0" collapsed="false">
      <c r="A97" s="2" t="s">
        <v>295</v>
      </c>
      <c r="B97" s="2" t="n">
        <v>73</v>
      </c>
      <c r="C97" s="3" t="n">
        <v>4000</v>
      </c>
      <c r="D97" s="3" t="n">
        <f aca="false">ROUND(C97*1.15,0)</f>
        <v>4600</v>
      </c>
      <c r="E97" s="2" t="s">
        <v>296</v>
      </c>
      <c r="F97" s="2" t="s">
        <v>297</v>
      </c>
      <c r="G97" s="2" t="s">
        <v>76</v>
      </c>
      <c r="H97" s="3" t="n">
        <f aca="false">B97*C97</f>
        <v>292000</v>
      </c>
    </row>
    <row r="98" customFormat="false" ht="14.25" hidden="false" customHeight="false" outlineLevel="0" collapsed="false">
      <c r="A98" s="2" t="s">
        <v>298</v>
      </c>
      <c r="B98" s="2" t="n">
        <v>41</v>
      </c>
      <c r="C98" s="3" t="n">
        <v>10000</v>
      </c>
      <c r="D98" s="3" t="n">
        <f aca="false">ROUND(C98*1.4,0)</f>
        <v>14000</v>
      </c>
      <c r="E98" s="2" t="s">
        <v>175</v>
      </c>
      <c r="F98" s="2" t="s">
        <v>299</v>
      </c>
      <c r="G98" s="2" t="s">
        <v>23</v>
      </c>
      <c r="H98" s="3" t="n">
        <f aca="false">B98*C98</f>
        <v>410000</v>
      </c>
    </row>
    <row r="99" customFormat="false" ht="14.25" hidden="false" customHeight="false" outlineLevel="0" collapsed="false">
      <c r="A99" s="2" t="s">
        <v>300</v>
      </c>
      <c r="B99" s="2" t="n">
        <v>13</v>
      </c>
      <c r="C99" s="3" t="n">
        <v>5000</v>
      </c>
      <c r="D99" s="3" t="n">
        <f aca="false">ROUND(C99*1.15,0)</f>
        <v>5750</v>
      </c>
      <c r="E99" s="2" t="s">
        <v>301</v>
      </c>
      <c r="F99" s="2" t="s">
        <v>302</v>
      </c>
      <c r="G99" s="2" t="s">
        <v>58</v>
      </c>
      <c r="H99" s="3" t="n">
        <f aca="false">B99*C99</f>
        <v>65000</v>
      </c>
    </row>
    <row r="100" customFormat="false" ht="14.25" hidden="false" customHeight="false" outlineLevel="0" collapsed="false">
      <c r="A100" s="2" t="s">
        <v>303</v>
      </c>
      <c r="B100" s="2" t="n">
        <v>65</v>
      </c>
      <c r="C100" s="3" t="n">
        <v>3000</v>
      </c>
      <c r="D100" s="3" t="n">
        <f aca="false">ROUND(C100*1.15,0)</f>
        <v>3450</v>
      </c>
      <c r="E100" s="2" t="s">
        <v>304</v>
      </c>
      <c r="F100" s="2" t="s">
        <v>305</v>
      </c>
      <c r="G100" s="2" t="s">
        <v>23</v>
      </c>
      <c r="H100" s="3" t="n">
        <f aca="false">B100*C100</f>
        <v>195000</v>
      </c>
    </row>
    <row r="101" customFormat="false" ht="14.25" hidden="false" customHeight="false" outlineLevel="0" collapsed="false">
      <c r="A101" s="2" t="s">
        <v>303</v>
      </c>
      <c r="B101" s="2" t="n">
        <v>37</v>
      </c>
      <c r="C101" s="3" t="n">
        <v>3000</v>
      </c>
      <c r="D101" s="3" t="n">
        <f aca="false">ROUND(C101*1.35,0)</f>
        <v>4050</v>
      </c>
      <c r="E101" s="2" t="s">
        <v>306</v>
      </c>
      <c r="F101" s="2" t="s">
        <v>307</v>
      </c>
      <c r="G101" s="2" t="s">
        <v>69</v>
      </c>
      <c r="H101" s="3" t="n">
        <f aca="false">B101*C101</f>
        <v>111000</v>
      </c>
    </row>
    <row r="102" customFormat="false" ht="14.25" hidden="false" customHeight="false" outlineLevel="0" collapsed="false">
      <c r="A102" s="2" t="s">
        <v>308</v>
      </c>
      <c r="B102" s="2" t="n">
        <v>117</v>
      </c>
      <c r="C102" s="3" t="n">
        <v>1200</v>
      </c>
      <c r="D102" s="3" t="n">
        <f aca="false">ROUND(C102*1.2,0)</f>
        <v>1440</v>
      </c>
      <c r="E102" s="2" t="s">
        <v>309</v>
      </c>
      <c r="F102" s="2" t="s">
        <v>310</v>
      </c>
      <c r="G102" s="2" t="s">
        <v>54</v>
      </c>
      <c r="H102" s="3" t="n">
        <f aca="false">B102*C102</f>
        <v>140400</v>
      </c>
    </row>
    <row r="103" customFormat="false" ht="14.25" hidden="false" customHeight="false" outlineLevel="0" collapsed="false">
      <c r="A103" s="2" t="s">
        <v>311</v>
      </c>
      <c r="B103" s="2" t="n">
        <v>94</v>
      </c>
      <c r="C103" s="3" t="n">
        <v>12000</v>
      </c>
      <c r="D103" s="3" t="n">
        <f aca="false">ROUND(C103*1.2,0)</f>
        <v>14400</v>
      </c>
      <c r="E103" s="2" t="s">
        <v>312</v>
      </c>
      <c r="F103" s="2" t="s">
        <v>313</v>
      </c>
      <c r="G103" s="2" t="s">
        <v>102</v>
      </c>
      <c r="H103" s="3" t="n">
        <f aca="false">B103*C103</f>
        <v>1128000</v>
      </c>
    </row>
    <row r="104" customFormat="false" ht="14.25" hidden="false" customHeight="false" outlineLevel="0" collapsed="false">
      <c r="A104" s="2" t="s">
        <v>314</v>
      </c>
      <c r="B104" s="2" t="n">
        <v>150</v>
      </c>
      <c r="C104" s="3" t="n">
        <v>10000</v>
      </c>
      <c r="D104" s="3" t="n">
        <f aca="false">ROUND(C104*1.25,0)</f>
        <v>12500</v>
      </c>
      <c r="E104" s="2" t="s">
        <v>315</v>
      </c>
      <c r="F104" s="2" t="s">
        <v>316</v>
      </c>
      <c r="G104" s="2" t="s">
        <v>27</v>
      </c>
      <c r="H104" s="3" t="n">
        <f aca="false">B104*C104</f>
        <v>1500000</v>
      </c>
    </row>
    <row r="105" customFormat="false" ht="14.25" hidden="false" customHeight="false" outlineLevel="0" collapsed="false">
      <c r="A105" s="2" t="s">
        <v>317</v>
      </c>
      <c r="B105" s="2" t="n">
        <v>33</v>
      </c>
      <c r="C105" s="3" t="n">
        <v>3000</v>
      </c>
      <c r="D105" s="3" t="n">
        <f aca="false">ROUND(C105*1.3,0)</f>
        <v>3900</v>
      </c>
      <c r="E105" s="2" t="s">
        <v>318</v>
      </c>
      <c r="F105" s="2" t="s">
        <v>319</v>
      </c>
      <c r="G105" s="2" t="s">
        <v>23</v>
      </c>
      <c r="H105" s="3" t="n">
        <f aca="false">B105*C105</f>
        <v>99000</v>
      </c>
    </row>
    <row r="106" customFormat="false" ht="14.25" hidden="false" customHeight="false" outlineLevel="0" collapsed="false">
      <c r="A106" s="2" t="s">
        <v>320</v>
      </c>
      <c r="B106" s="2" t="n">
        <v>92</v>
      </c>
      <c r="C106" s="3" t="n">
        <v>3500</v>
      </c>
      <c r="D106" s="3" t="n">
        <f aca="false">ROUND(C106*1.25,0)</f>
        <v>4375</v>
      </c>
      <c r="E106" s="2" t="s">
        <v>321</v>
      </c>
      <c r="F106" s="2" t="s">
        <v>322</v>
      </c>
      <c r="G106" s="2" t="s">
        <v>34</v>
      </c>
      <c r="H106" s="3" t="n">
        <f aca="false">B106*C106</f>
        <v>322000</v>
      </c>
    </row>
    <row r="107" customFormat="false" ht="14.25" hidden="false" customHeight="false" outlineLevel="0" collapsed="false">
      <c r="A107" s="2" t="s">
        <v>323</v>
      </c>
      <c r="B107" s="2" t="n">
        <v>49</v>
      </c>
      <c r="C107" s="3" t="n">
        <v>3500</v>
      </c>
      <c r="D107" s="3" t="n">
        <f aca="false">ROUND(C107*1.2,0)</f>
        <v>4200</v>
      </c>
      <c r="E107" s="2" t="s">
        <v>241</v>
      </c>
      <c r="F107" s="2" t="s">
        <v>324</v>
      </c>
      <c r="G107" s="2" t="s">
        <v>54</v>
      </c>
      <c r="H107" s="3" t="n">
        <f aca="false">B107*C107</f>
        <v>171500</v>
      </c>
    </row>
    <row r="108" customFormat="false" ht="14.25" hidden="false" customHeight="false" outlineLevel="0" collapsed="false">
      <c r="A108" s="2" t="s">
        <v>325</v>
      </c>
      <c r="B108" s="2" t="n">
        <v>11</v>
      </c>
      <c r="C108" s="3" t="n">
        <v>800</v>
      </c>
      <c r="D108" s="3" t="n">
        <f aca="false">ROUND(C108*1.15,0)</f>
        <v>920</v>
      </c>
      <c r="E108" s="2" t="s">
        <v>326</v>
      </c>
      <c r="F108" s="2" t="s">
        <v>327</v>
      </c>
      <c r="G108" s="2" t="s">
        <v>58</v>
      </c>
      <c r="H108" s="3" t="n">
        <f aca="false">B108*C108</f>
        <v>8800</v>
      </c>
    </row>
    <row r="109" customFormat="false" ht="14.25" hidden="false" customHeight="false" outlineLevel="0" collapsed="false">
      <c r="A109" s="2" t="s">
        <v>328</v>
      </c>
      <c r="B109" s="2" t="n">
        <v>10</v>
      </c>
      <c r="C109" s="3" t="n">
        <v>1200</v>
      </c>
      <c r="D109" s="3" t="n">
        <f aca="false">ROUND(C109*1.2,0)</f>
        <v>1440</v>
      </c>
      <c r="E109" s="2" t="s">
        <v>329</v>
      </c>
      <c r="F109" s="2" t="s">
        <v>330</v>
      </c>
      <c r="G109" s="2" t="s">
        <v>15</v>
      </c>
      <c r="H109" s="3" t="n">
        <f aca="false">B109*C109</f>
        <v>12000</v>
      </c>
    </row>
    <row r="110" customFormat="false" ht="14.25" hidden="false" customHeight="false" outlineLevel="0" collapsed="false">
      <c r="A110" s="2" t="s">
        <v>331</v>
      </c>
      <c r="B110" s="2" t="n">
        <v>42</v>
      </c>
      <c r="C110" s="3" t="n">
        <v>3000</v>
      </c>
      <c r="D110" s="3" t="n">
        <f aca="false">ROUND(C110*1.4,0)</f>
        <v>4200</v>
      </c>
      <c r="E110" s="2" t="s">
        <v>332</v>
      </c>
      <c r="F110" s="2" t="s">
        <v>333</v>
      </c>
      <c r="G110" s="2" t="s">
        <v>102</v>
      </c>
      <c r="H110" s="3" t="n">
        <f aca="false">B110*C110</f>
        <v>126000</v>
      </c>
    </row>
    <row r="111" customFormat="false" ht="14.25" hidden="false" customHeight="false" outlineLevel="0" collapsed="false">
      <c r="A111" s="2" t="s">
        <v>334</v>
      </c>
      <c r="B111" s="2" t="n">
        <v>87</v>
      </c>
      <c r="C111" s="3" t="n">
        <v>5000</v>
      </c>
      <c r="D111" s="3" t="n">
        <f aca="false">ROUND(C111*1.3,0)</f>
        <v>6500</v>
      </c>
      <c r="E111" s="2" t="s">
        <v>261</v>
      </c>
      <c r="F111" s="2" t="s">
        <v>335</v>
      </c>
      <c r="G111" s="2" t="s">
        <v>27</v>
      </c>
      <c r="H111" s="3" t="n">
        <f aca="false">B111*C111</f>
        <v>435000</v>
      </c>
    </row>
    <row r="112" customFormat="false" ht="14.25" hidden="false" customHeight="false" outlineLevel="0" collapsed="false">
      <c r="A112" s="2" t="s">
        <v>336</v>
      </c>
      <c r="B112" s="2" t="n">
        <v>115</v>
      </c>
      <c r="C112" s="3" t="n">
        <v>2500</v>
      </c>
      <c r="D112" s="3" t="n">
        <f aca="false">ROUND(C112*1.3,0)</f>
        <v>3250</v>
      </c>
      <c r="E112" s="2" t="s">
        <v>337</v>
      </c>
      <c r="F112" s="2" t="s">
        <v>338</v>
      </c>
      <c r="G112" s="2" t="s">
        <v>58</v>
      </c>
      <c r="H112" s="3" t="n">
        <f aca="false">B112*C112</f>
        <v>287500</v>
      </c>
    </row>
    <row r="113" customFormat="false" ht="14.25" hidden="false" customHeight="false" outlineLevel="0" collapsed="false">
      <c r="A113" s="2" t="s">
        <v>339</v>
      </c>
      <c r="B113" s="2" t="n">
        <v>40</v>
      </c>
      <c r="C113" s="3" t="n">
        <v>5000</v>
      </c>
      <c r="D113" s="3" t="n">
        <f aca="false">ROUND(C113*1.25,0)</f>
        <v>6250</v>
      </c>
      <c r="E113" s="2" t="s">
        <v>340</v>
      </c>
      <c r="F113" s="2" t="s">
        <v>341</v>
      </c>
      <c r="G113" s="2" t="s">
        <v>58</v>
      </c>
      <c r="H113" s="3" t="n">
        <f aca="false">B113*C113</f>
        <v>200000</v>
      </c>
    </row>
    <row r="114" customFormat="false" ht="14.25" hidden="false" customHeight="false" outlineLevel="0" collapsed="false">
      <c r="A114" s="2" t="s">
        <v>342</v>
      </c>
      <c r="B114" s="2" t="n">
        <v>149</v>
      </c>
      <c r="C114" s="3" t="n">
        <v>1200</v>
      </c>
      <c r="D114" s="3" t="n">
        <f aca="false">ROUND(C114*1.3,0)</f>
        <v>1560</v>
      </c>
      <c r="E114" s="2" t="s">
        <v>343</v>
      </c>
      <c r="F114" s="2" t="s">
        <v>344</v>
      </c>
      <c r="G114" s="2" t="s">
        <v>54</v>
      </c>
      <c r="H114" s="3" t="n">
        <f aca="false">B114*C114</f>
        <v>178800</v>
      </c>
    </row>
    <row r="115" customFormat="false" ht="14.25" hidden="false" customHeight="false" outlineLevel="0" collapsed="false">
      <c r="A115" s="2" t="s">
        <v>345</v>
      </c>
      <c r="B115" s="2" t="n">
        <v>145</v>
      </c>
      <c r="C115" s="3" t="n">
        <v>15000</v>
      </c>
      <c r="D115" s="3" t="n">
        <f aca="false">ROUND(C115*1.4,0)</f>
        <v>21000</v>
      </c>
      <c r="E115" s="2" t="s">
        <v>346</v>
      </c>
      <c r="F115" s="2" t="s">
        <v>270</v>
      </c>
      <c r="G115" s="2" t="s">
        <v>27</v>
      </c>
      <c r="H115" s="3" t="n">
        <f aca="false">B115*C115</f>
        <v>2175000</v>
      </c>
    </row>
    <row r="116" customFormat="false" ht="14.25" hidden="false" customHeight="false" outlineLevel="0" collapsed="false">
      <c r="A116" s="2" t="s">
        <v>347</v>
      </c>
      <c r="B116" s="2" t="n">
        <v>20</v>
      </c>
      <c r="C116" s="3" t="n">
        <v>4000</v>
      </c>
      <c r="D116" s="3" t="n">
        <f aca="false">ROUND(C116*1.2,0)</f>
        <v>4800</v>
      </c>
      <c r="E116" s="2" t="s">
        <v>348</v>
      </c>
      <c r="F116" s="2" t="s">
        <v>349</v>
      </c>
      <c r="G116" s="2" t="s">
        <v>15</v>
      </c>
      <c r="H116" s="3" t="n">
        <f aca="false">B116*C116</f>
        <v>80000</v>
      </c>
    </row>
    <row r="117" customFormat="false" ht="14.25" hidden="false" customHeight="false" outlineLevel="0" collapsed="false">
      <c r="A117" s="2" t="s">
        <v>350</v>
      </c>
      <c r="B117" s="2" t="n">
        <v>127</v>
      </c>
      <c r="C117" s="3" t="n">
        <v>5000</v>
      </c>
      <c r="D117" s="3" t="n">
        <f aca="false">ROUND(C117*1.25,0)</f>
        <v>6250</v>
      </c>
      <c r="E117" s="2" t="s">
        <v>351</v>
      </c>
      <c r="F117" s="2" t="s">
        <v>352</v>
      </c>
      <c r="G117" s="2" t="s">
        <v>254</v>
      </c>
      <c r="H117" s="3" t="n">
        <f aca="false">B117*C117</f>
        <v>635000</v>
      </c>
    </row>
    <row r="118" customFormat="false" ht="14.25" hidden="false" customHeight="false" outlineLevel="0" collapsed="false">
      <c r="A118" s="2" t="s">
        <v>353</v>
      </c>
      <c r="B118" s="2" t="n">
        <v>84</v>
      </c>
      <c r="C118" s="3" t="n">
        <v>6500</v>
      </c>
      <c r="D118" s="3" t="n">
        <f aca="false">ROUND(C118*1.15,0)</f>
        <v>7475</v>
      </c>
      <c r="E118" s="2" t="s">
        <v>354</v>
      </c>
      <c r="F118" s="2" t="s">
        <v>355</v>
      </c>
      <c r="G118" s="2" t="s">
        <v>76</v>
      </c>
      <c r="H118" s="3" t="n">
        <f aca="false">B118*C118</f>
        <v>546000</v>
      </c>
    </row>
    <row r="119" customFormat="false" ht="14.25" hidden="false" customHeight="false" outlineLevel="0" collapsed="false">
      <c r="A119" s="2" t="s">
        <v>356</v>
      </c>
      <c r="B119" s="2" t="n">
        <v>72</v>
      </c>
      <c r="C119" s="3" t="n">
        <v>12000</v>
      </c>
      <c r="D119" s="3" t="n">
        <f aca="false">ROUND(C119*1.35,0)</f>
        <v>16200</v>
      </c>
      <c r="E119" s="2" t="s">
        <v>357</v>
      </c>
      <c r="F119" s="2" t="s">
        <v>358</v>
      </c>
      <c r="G119" s="2" t="s">
        <v>102</v>
      </c>
      <c r="H119" s="3" t="n">
        <f aca="false">B119*C119</f>
        <v>864000</v>
      </c>
    </row>
    <row r="120" customFormat="false" ht="14.25" hidden="false" customHeight="false" outlineLevel="0" collapsed="false">
      <c r="A120" s="2" t="s">
        <v>138</v>
      </c>
      <c r="B120" s="2" t="n">
        <v>103</v>
      </c>
      <c r="C120" s="3" t="n">
        <v>3000</v>
      </c>
      <c r="D120" s="3" t="n">
        <f aca="false">ROUND(C120*1.15,0)</f>
        <v>3450</v>
      </c>
      <c r="E120" s="2" t="s">
        <v>97</v>
      </c>
      <c r="F120" s="2" t="s">
        <v>359</v>
      </c>
      <c r="G120" s="2" t="s">
        <v>69</v>
      </c>
      <c r="H120" s="3" t="n">
        <f aca="false">B120*C120</f>
        <v>309000</v>
      </c>
    </row>
    <row r="121" customFormat="false" ht="14.25" hidden="false" customHeight="false" outlineLevel="0" collapsed="false">
      <c r="A121" s="2" t="s">
        <v>360</v>
      </c>
      <c r="B121" s="2" t="n">
        <v>150</v>
      </c>
      <c r="C121" s="3" t="n">
        <v>8000</v>
      </c>
      <c r="D121" s="3" t="n">
        <f aca="false">ROUND(C121*1.2,0)</f>
        <v>9600</v>
      </c>
      <c r="E121" s="2" t="s">
        <v>361</v>
      </c>
      <c r="F121" s="2" t="s">
        <v>362</v>
      </c>
      <c r="G121" s="2" t="s">
        <v>254</v>
      </c>
      <c r="H121" s="3" t="n">
        <f aca="false">B121*C121</f>
        <v>1200000</v>
      </c>
    </row>
    <row r="122" customFormat="false" ht="14.25" hidden="false" customHeight="false" outlineLevel="0" collapsed="false">
      <c r="A122" s="2" t="s">
        <v>363</v>
      </c>
      <c r="B122" s="2" t="n">
        <v>40</v>
      </c>
      <c r="C122" s="3" t="n">
        <v>2000</v>
      </c>
      <c r="D122" s="3" t="n">
        <f aca="false">ROUND(C122*1.2,0)</f>
        <v>2400</v>
      </c>
      <c r="E122" s="2" t="s">
        <v>364</v>
      </c>
      <c r="F122" s="2" t="s">
        <v>365</v>
      </c>
      <c r="G122" s="2" t="s">
        <v>23</v>
      </c>
      <c r="H122" s="3" t="n">
        <f aca="false">B122*C122</f>
        <v>80000</v>
      </c>
    </row>
    <row r="123" customFormat="false" ht="14.25" hidden="false" customHeight="false" outlineLevel="0" collapsed="false">
      <c r="A123" s="2" t="s">
        <v>366</v>
      </c>
      <c r="B123" s="2" t="n">
        <v>57</v>
      </c>
      <c r="C123" s="3" t="n">
        <v>800</v>
      </c>
      <c r="D123" s="3" t="n">
        <f aca="false">ROUND(C123*1.35,0)</f>
        <v>1080</v>
      </c>
      <c r="E123" s="2" t="s">
        <v>367</v>
      </c>
      <c r="F123" s="2" t="s">
        <v>368</v>
      </c>
      <c r="G123" s="2" t="s">
        <v>62</v>
      </c>
      <c r="H123" s="3" t="n">
        <f aca="false">B123*C123</f>
        <v>45600</v>
      </c>
    </row>
    <row r="124" customFormat="false" ht="14.25" hidden="false" customHeight="false" outlineLevel="0" collapsed="false">
      <c r="A124" s="2" t="s">
        <v>369</v>
      </c>
      <c r="B124" s="2" t="n">
        <v>109</v>
      </c>
      <c r="C124" s="3" t="n">
        <v>1000</v>
      </c>
      <c r="D124" s="3" t="n">
        <f aca="false">ROUND(C124*1.35,0)</f>
        <v>1350</v>
      </c>
      <c r="E124" s="2" t="s">
        <v>370</v>
      </c>
      <c r="F124" s="2" t="s">
        <v>371</v>
      </c>
      <c r="G124" s="2" t="s">
        <v>38</v>
      </c>
      <c r="H124" s="3" t="n">
        <f aca="false">B124*C124</f>
        <v>109000</v>
      </c>
    </row>
    <row r="125" customFormat="false" ht="14.25" hidden="false" customHeight="false" outlineLevel="0" collapsed="false">
      <c r="A125" s="2" t="s">
        <v>372</v>
      </c>
      <c r="B125" s="2" t="n">
        <v>86</v>
      </c>
      <c r="C125" s="3" t="n">
        <v>1000</v>
      </c>
      <c r="D125" s="3" t="n">
        <f aca="false">ROUND(C125*1.25,0)</f>
        <v>1250</v>
      </c>
      <c r="E125" s="2" t="s">
        <v>373</v>
      </c>
      <c r="F125" s="2" t="s">
        <v>374</v>
      </c>
      <c r="G125" s="2" t="s">
        <v>23</v>
      </c>
      <c r="H125" s="3" t="n">
        <f aca="false">B125*C125</f>
        <v>86000</v>
      </c>
    </row>
    <row r="126" customFormat="false" ht="14.25" hidden="false" customHeight="false" outlineLevel="0" collapsed="false">
      <c r="A126" s="2" t="s">
        <v>147</v>
      </c>
      <c r="B126" s="2" t="n">
        <v>7</v>
      </c>
      <c r="C126" s="3" t="n">
        <v>1500</v>
      </c>
      <c r="D126" s="3" t="n">
        <f aca="false">ROUND(C126*1.15,0)</f>
        <v>1725</v>
      </c>
      <c r="E126" s="2" t="s">
        <v>375</v>
      </c>
      <c r="F126" s="2" t="s">
        <v>376</v>
      </c>
      <c r="G126" s="2" t="s">
        <v>58</v>
      </c>
      <c r="H126" s="3" t="n">
        <f aca="false">B126*C126</f>
        <v>10500</v>
      </c>
    </row>
    <row r="127" customFormat="false" ht="14.25" hidden="false" customHeight="false" outlineLevel="0" collapsed="false">
      <c r="A127" s="2" t="s">
        <v>377</v>
      </c>
      <c r="B127" s="2" t="n">
        <v>57</v>
      </c>
      <c r="C127" s="3" t="n">
        <v>15000</v>
      </c>
      <c r="D127" s="3" t="n">
        <f aca="false">ROUND(C127*1.35,0)</f>
        <v>20250</v>
      </c>
      <c r="E127" s="2" t="s">
        <v>378</v>
      </c>
      <c r="F127" s="2" t="s">
        <v>379</v>
      </c>
      <c r="G127" s="2" t="s">
        <v>58</v>
      </c>
      <c r="H127" s="3" t="n">
        <f aca="false">B127*C127</f>
        <v>855000</v>
      </c>
    </row>
    <row r="128" customFormat="false" ht="14.25" hidden="false" customHeight="false" outlineLevel="0" collapsed="false">
      <c r="A128" s="2" t="s">
        <v>380</v>
      </c>
      <c r="B128" s="2" t="n">
        <v>86</v>
      </c>
      <c r="C128" s="3" t="n">
        <v>1500</v>
      </c>
      <c r="D128" s="3" t="n">
        <f aca="false">ROUND(C128*1.3,0)</f>
        <v>1950</v>
      </c>
      <c r="E128" s="2" t="s">
        <v>179</v>
      </c>
      <c r="F128" s="2" t="s">
        <v>381</v>
      </c>
      <c r="G128" s="2" t="s">
        <v>38</v>
      </c>
      <c r="H128" s="3" t="n">
        <f aca="false">B128*C128</f>
        <v>129000</v>
      </c>
    </row>
    <row r="129" customFormat="false" ht="14.25" hidden="false" customHeight="false" outlineLevel="0" collapsed="false">
      <c r="A129" s="2" t="s">
        <v>382</v>
      </c>
      <c r="B129" s="2" t="n">
        <v>12</v>
      </c>
      <c r="C129" s="3" t="n">
        <v>10000</v>
      </c>
      <c r="D129" s="3" t="n">
        <f aca="false">ROUND(C129*1.4,0)</f>
        <v>14000</v>
      </c>
      <c r="E129" s="2" t="s">
        <v>383</v>
      </c>
      <c r="F129" s="2" t="s">
        <v>384</v>
      </c>
      <c r="G129" s="2" t="s">
        <v>38</v>
      </c>
      <c r="H129" s="3" t="n">
        <f aca="false">B129*C129</f>
        <v>120000</v>
      </c>
    </row>
    <row r="130" customFormat="false" ht="14.25" hidden="false" customHeight="false" outlineLevel="0" collapsed="false">
      <c r="A130" s="2" t="s">
        <v>385</v>
      </c>
      <c r="B130" s="2" t="n">
        <v>119</v>
      </c>
      <c r="C130" s="3" t="n">
        <v>500</v>
      </c>
      <c r="D130" s="3" t="n">
        <f aca="false">ROUND(C130*1.35,0)</f>
        <v>675</v>
      </c>
      <c r="E130" s="2" t="s">
        <v>97</v>
      </c>
      <c r="F130" s="2" t="s">
        <v>386</v>
      </c>
      <c r="G130" s="2" t="s">
        <v>38</v>
      </c>
      <c r="H130" s="3" t="n">
        <f aca="false">B130*C130</f>
        <v>59500</v>
      </c>
    </row>
    <row r="131" customFormat="false" ht="14.25" hidden="false" customHeight="false" outlineLevel="0" collapsed="false">
      <c r="A131" s="2" t="s">
        <v>387</v>
      </c>
      <c r="B131" s="2" t="n">
        <v>108</v>
      </c>
      <c r="C131" s="3" t="n">
        <v>1500</v>
      </c>
      <c r="D131" s="3" t="n">
        <f aca="false">ROUND(C131*1.2,0)</f>
        <v>1800</v>
      </c>
      <c r="E131" s="2" t="s">
        <v>388</v>
      </c>
      <c r="F131" s="2" t="s">
        <v>389</v>
      </c>
      <c r="G131" s="2" t="s">
        <v>19</v>
      </c>
      <c r="H131" s="3" t="n">
        <f aca="false">B131*C131</f>
        <v>162000</v>
      </c>
    </row>
    <row r="132" customFormat="false" ht="14.25" hidden="false" customHeight="false" outlineLevel="0" collapsed="false">
      <c r="A132" s="2" t="s">
        <v>390</v>
      </c>
      <c r="B132" s="2" t="n">
        <v>43</v>
      </c>
      <c r="C132" s="3" t="n">
        <v>5000</v>
      </c>
      <c r="D132" s="3" t="n">
        <f aca="false">ROUND(C132*1.2,0)</f>
        <v>6000</v>
      </c>
      <c r="E132" s="2" t="s">
        <v>391</v>
      </c>
      <c r="F132" s="2" t="s">
        <v>392</v>
      </c>
      <c r="G132" s="2" t="s">
        <v>54</v>
      </c>
      <c r="H132" s="3" t="n">
        <f aca="false">B132*C132</f>
        <v>215000</v>
      </c>
    </row>
    <row r="133" customFormat="false" ht="14.25" hidden="false" customHeight="false" outlineLevel="0" collapsed="false">
      <c r="A133" s="2" t="s">
        <v>393</v>
      </c>
      <c r="B133" s="2" t="n">
        <v>16</v>
      </c>
      <c r="C133" s="3" t="n">
        <v>15000</v>
      </c>
      <c r="D133" s="3" t="n">
        <f aca="false">ROUND(C133*1.25,0)</f>
        <v>18750</v>
      </c>
      <c r="E133" s="2" t="s">
        <v>394</v>
      </c>
      <c r="F133" s="2" t="s">
        <v>395</v>
      </c>
      <c r="G133" s="2" t="s">
        <v>62</v>
      </c>
      <c r="H133" s="3" t="n">
        <f aca="false">B133*C133</f>
        <v>240000</v>
      </c>
    </row>
    <row r="134" customFormat="false" ht="14.25" hidden="false" customHeight="false" outlineLevel="0" collapsed="false">
      <c r="A134" s="2" t="s">
        <v>153</v>
      </c>
      <c r="B134" s="2" t="n">
        <v>46</v>
      </c>
      <c r="C134" s="3" t="n">
        <v>800</v>
      </c>
      <c r="D134" s="3" t="n">
        <f aca="false">ROUND(C134*1.3,0)</f>
        <v>1040</v>
      </c>
      <c r="E134" s="2" t="s">
        <v>396</v>
      </c>
      <c r="F134" s="2" t="s">
        <v>397</v>
      </c>
      <c r="G134" s="2" t="s">
        <v>102</v>
      </c>
      <c r="H134" s="3" t="n">
        <f aca="false">B134*C134</f>
        <v>36800</v>
      </c>
    </row>
    <row r="135" customFormat="false" ht="14.25" hidden="false" customHeight="false" outlineLevel="0" collapsed="false">
      <c r="A135" s="2" t="s">
        <v>398</v>
      </c>
      <c r="B135" s="2" t="n">
        <v>28</v>
      </c>
      <c r="C135" s="3" t="n">
        <v>2500</v>
      </c>
      <c r="D135" s="3" t="n">
        <f aca="false">ROUND(C135*1.2,0)</f>
        <v>3000</v>
      </c>
      <c r="E135" s="2" t="s">
        <v>399</v>
      </c>
      <c r="F135" s="2" t="s">
        <v>400</v>
      </c>
      <c r="G135" s="2" t="s">
        <v>76</v>
      </c>
      <c r="H135" s="3" t="n">
        <f aca="false">B135*C135</f>
        <v>70000</v>
      </c>
    </row>
    <row r="136" customFormat="false" ht="14.25" hidden="false" customHeight="false" outlineLevel="0" collapsed="false">
      <c r="A136" s="2" t="s">
        <v>24</v>
      </c>
      <c r="B136" s="2" t="n">
        <v>121</v>
      </c>
      <c r="C136" s="3" t="n">
        <v>3000</v>
      </c>
      <c r="D136" s="3" t="n">
        <f aca="false">ROUND(C136*1.3,0)</f>
        <v>3900</v>
      </c>
      <c r="E136" s="2" t="s">
        <v>401</v>
      </c>
      <c r="F136" s="2" t="s">
        <v>402</v>
      </c>
      <c r="G136" s="2" t="s">
        <v>58</v>
      </c>
      <c r="H136" s="3" t="n">
        <f aca="false">B136*C136</f>
        <v>363000</v>
      </c>
    </row>
    <row r="137" customFormat="false" ht="14.25" hidden="false" customHeight="false" outlineLevel="0" collapsed="false">
      <c r="A137" s="2" t="s">
        <v>96</v>
      </c>
      <c r="B137" s="2" t="n">
        <v>141</v>
      </c>
      <c r="C137" s="3" t="n">
        <v>15000</v>
      </c>
      <c r="D137" s="3" t="n">
        <f aca="false">ROUND(C137*1.25,0)</f>
        <v>18750</v>
      </c>
      <c r="E137" s="2" t="s">
        <v>403</v>
      </c>
      <c r="F137" s="2" t="s">
        <v>404</v>
      </c>
      <c r="G137" s="2" t="s">
        <v>23</v>
      </c>
      <c r="H137" s="3" t="n">
        <f aca="false">B137*C137</f>
        <v>2115000</v>
      </c>
    </row>
    <row r="138" customFormat="false" ht="14.25" hidden="false" customHeight="false" outlineLevel="0" collapsed="false">
      <c r="A138" s="2" t="s">
        <v>405</v>
      </c>
      <c r="B138" s="2" t="n">
        <v>141</v>
      </c>
      <c r="C138" s="3" t="n">
        <v>1000</v>
      </c>
      <c r="D138" s="3" t="n">
        <f aca="false">ROUND(C138*1.3,0)</f>
        <v>1300</v>
      </c>
      <c r="E138" s="2" t="s">
        <v>406</v>
      </c>
      <c r="F138" s="2" t="s">
        <v>407</v>
      </c>
      <c r="G138" s="2" t="s">
        <v>69</v>
      </c>
      <c r="H138" s="3" t="n">
        <f aca="false">B138*C138</f>
        <v>141000</v>
      </c>
    </row>
    <row r="139" customFormat="false" ht="14.25" hidden="false" customHeight="false" outlineLevel="0" collapsed="false">
      <c r="A139" s="2" t="s">
        <v>243</v>
      </c>
      <c r="B139" s="2" t="n">
        <v>99</v>
      </c>
      <c r="C139" s="3" t="n">
        <v>3500</v>
      </c>
      <c r="D139" s="3" t="n">
        <f aca="false">ROUND(C139*1.15,0)</f>
        <v>4025</v>
      </c>
      <c r="E139" s="2" t="s">
        <v>408</v>
      </c>
      <c r="F139" s="2" t="s">
        <v>409</v>
      </c>
      <c r="G139" s="2" t="s">
        <v>23</v>
      </c>
      <c r="H139" s="3" t="n">
        <f aca="false">B139*C139</f>
        <v>346500</v>
      </c>
    </row>
    <row r="140" customFormat="false" ht="14.25" hidden="false" customHeight="false" outlineLevel="0" collapsed="false">
      <c r="A140" s="2" t="s">
        <v>410</v>
      </c>
      <c r="B140" s="2" t="n">
        <v>96</v>
      </c>
      <c r="C140" s="3" t="n">
        <v>12000</v>
      </c>
      <c r="D140" s="3" t="n">
        <f aca="false">ROUND(C140*1.2,0)</f>
        <v>14400</v>
      </c>
      <c r="E140" s="2" t="s">
        <v>411</v>
      </c>
      <c r="F140" s="2" t="s">
        <v>412</v>
      </c>
      <c r="G140" s="2" t="s">
        <v>76</v>
      </c>
      <c r="H140" s="3" t="n">
        <f aca="false">B140*C140</f>
        <v>1152000</v>
      </c>
    </row>
    <row r="141" customFormat="false" ht="14.25" hidden="false" customHeight="false" outlineLevel="0" collapsed="false">
      <c r="A141" s="2" t="s">
        <v>413</v>
      </c>
      <c r="B141" s="2" t="n">
        <v>41</v>
      </c>
      <c r="C141" s="3" t="n">
        <v>5000</v>
      </c>
      <c r="D141" s="3" t="n">
        <f aca="false">ROUND(C141*1.2,0)</f>
        <v>6000</v>
      </c>
      <c r="E141" s="2" t="s">
        <v>414</v>
      </c>
      <c r="F141" s="2" t="s">
        <v>415</v>
      </c>
      <c r="G141" s="2" t="s">
        <v>11</v>
      </c>
      <c r="H141" s="3" t="n">
        <f aca="false">B141*C141</f>
        <v>205000</v>
      </c>
    </row>
    <row r="142" customFormat="false" ht="14.25" hidden="false" customHeight="false" outlineLevel="0" collapsed="false">
      <c r="A142" s="2" t="s">
        <v>251</v>
      </c>
      <c r="B142" s="2" t="n">
        <v>69</v>
      </c>
      <c r="C142" s="3" t="n">
        <v>800</v>
      </c>
      <c r="D142" s="3" t="n">
        <f aca="false">ROUND(C142*1.2,0)</f>
        <v>960</v>
      </c>
      <c r="E142" s="2" t="s">
        <v>416</v>
      </c>
      <c r="F142" s="2" t="s">
        <v>417</v>
      </c>
      <c r="G142" s="2" t="s">
        <v>69</v>
      </c>
      <c r="H142" s="3" t="n">
        <f aca="false">B142*C142</f>
        <v>55200</v>
      </c>
    </row>
    <row r="143" customFormat="false" ht="14.25" hidden="false" customHeight="false" outlineLevel="0" collapsed="false">
      <c r="A143" s="2" t="s">
        <v>243</v>
      </c>
      <c r="B143" s="2" t="n">
        <v>33</v>
      </c>
      <c r="C143" s="3" t="n">
        <v>1000</v>
      </c>
      <c r="D143" s="3" t="n">
        <f aca="false">ROUND(C143*1.25,0)</f>
        <v>1250</v>
      </c>
      <c r="E143" s="2" t="s">
        <v>46</v>
      </c>
      <c r="F143" s="2" t="s">
        <v>418</v>
      </c>
      <c r="G143" s="2" t="s">
        <v>34</v>
      </c>
      <c r="H143" s="3" t="n">
        <f aca="false">B143*C143</f>
        <v>33000</v>
      </c>
    </row>
    <row r="144" customFormat="false" ht="14.25" hidden="false" customHeight="false" outlineLevel="0" collapsed="false">
      <c r="A144" s="2" t="s">
        <v>419</v>
      </c>
      <c r="B144" s="2" t="n">
        <v>123</v>
      </c>
      <c r="C144" s="3" t="n">
        <v>12000</v>
      </c>
      <c r="D144" s="3" t="n">
        <f aca="false">ROUND(C144*1.15,0)</f>
        <v>13800</v>
      </c>
      <c r="E144" s="2" t="s">
        <v>420</v>
      </c>
      <c r="F144" s="2" t="s">
        <v>421</v>
      </c>
      <c r="G144" s="2" t="s">
        <v>54</v>
      </c>
      <c r="H144" s="3" t="n">
        <f aca="false">B144*C144</f>
        <v>1476000</v>
      </c>
    </row>
    <row r="145" customFormat="false" ht="14.25" hidden="false" customHeight="false" outlineLevel="0" collapsed="false">
      <c r="A145" s="2" t="s">
        <v>422</v>
      </c>
      <c r="B145" s="2" t="n">
        <v>5</v>
      </c>
      <c r="C145" s="3" t="n">
        <v>2500</v>
      </c>
      <c r="D145" s="3" t="n">
        <f aca="false">ROUND(C145*1.3,0)</f>
        <v>3250</v>
      </c>
      <c r="E145" s="2" t="s">
        <v>423</v>
      </c>
      <c r="F145" s="2" t="s">
        <v>424</v>
      </c>
      <c r="G145" s="2" t="s">
        <v>15</v>
      </c>
      <c r="H145" s="3" t="n">
        <f aca="false">B145*C145</f>
        <v>12500</v>
      </c>
    </row>
    <row r="146" customFormat="false" ht="14.25" hidden="false" customHeight="false" outlineLevel="0" collapsed="false">
      <c r="A146" s="2" t="s">
        <v>425</v>
      </c>
      <c r="B146" s="2" t="n">
        <v>10</v>
      </c>
      <c r="C146" s="3" t="n">
        <v>10000</v>
      </c>
      <c r="D146" s="3" t="n">
        <f aca="false">ROUND(C146*1.35,0)</f>
        <v>13500</v>
      </c>
      <c r="E146" s="2" t="s">
        <v>290</v>
      </c>
      <c r="F146" s="2" t="s">
        <v>426</v>
      </c>
      <c r="G146" s="2" t="s">
        <v>27</v>
      </c>
      <c r="H146" s="3" t="n">
        <f aca="false">B146*C146</f>
        <v>100000</v>
      </c>
    </row>
    <row r="147" customFormat="false" ht="14.25" hidden="false" customHeight="false" outlineLevel="0" collapsed="false">
      <c r="A147" s="2" t="s">
        <v>48</v>
      </c>
      <c r="B147" s="2" t="n">
        <v>80</v>
      </c>
      <c r="C147" s="3" t="n">
        <v>8000</v>
      </c>
      <c r="D147" s="3" t="n">
        <f aca="false">ROUND(C147*1.15,0)</f>
        <v>9200</v>
      </c>
      <c r="E147" s="2" t="s">
        <v>427</v>
      </c>
      <c r="F147" s="2" t="s">
        <v>428</v>
      </c>
      <c r="G147" s="2" t="s">
        <v>102</v>
      </c>
      <c r="H147" s="3" t="n">
        <f aca="false">B147*C147</f>
        <v>640000</v>
      </c>
    </row>
    <row r="148" customFormat="false" ht="14.25" hidden="false" customHeight="false" outlineLevel="0" collapsed="false">
      <c r="A148" s="2" t="s">
        <v>353</v>
      </c>
      <c r="B148" s="2" t="n">
        <v>18</v>
      </c>
      <c r="C148" s="3" t="n">
        <v>6500</v>
      </c>
      <c r="D148" s="3" t="n">
        <f aca="false">ROUND(C148*1.15,0)</f>
        <v>7475</v>
      </c>
      <c r="E148" s="2" t="s">
        <v>429</v>
      </c>
      <c r="F148" s="2" t="s">
        <v>430</v>
      </c>
      <c r="G148" s="2" t="s">
        <v>15</v>
      </c>
      <c r="H148" s="3" t="n">
        <f aca="false">B148*C148</f>
        <v>117000</v>
      </c>
    </row>
    <row r="149" customFormat="false" ht="14.25" hidden="false" customHeight="false" outlineLevel="0" collapsed="false">
      <c r="A149" s="2" t="s">
        <v>114</v>
      </c>
      <c r="B149" s="2" t="n">
        <v>119</v>
      </c>
      <c r="C149" s="3" t="n">
        <v>1200</v>
      </c>
      <c r="D149" s="3" t="n">
        <f aca="false">ROUND(C149*1.4,0)</f>
        <v>1680</v>
      </c>
      <c r="E149" s="2" t="s">
        <v>431</v>
      </c>
      <c r="F149" s="2" t="s">
        <v>432</v>
      </c>
      <c r="G149" s="2" t="s">
        <v>27</v>
      </c>
      <c r="H149" s="3" t="n">
        <f aca="false">B149*C149</f>
        <v>142800</v>
      </c>
    </row>
    <row r="150" customFormat="false" ht="14.25" hidden="false" customHeight="false" outlineLevel="0" collapsed="false">
      <c r="A150" s="2" t="s">
        <v>433</v>
      </c>
      <c r="B150" s="2" t="n">
        <v>122</v>
      </c>
      <c r="C150" s="3" t="n">
        <v>3000</v>
      </c>
      <c r="D150" s="3" t="n">
        <f aca="false">ROUND(C150*1.25,0)</f>
        <v>3750</v>
      </c>
      <c r="E150" s="2" t="s">
        <v>434</v>
      </c>
      <c r="F150" s="2" t="s">
        <v>435</v>
      </c>
      <c r="G150" s="2" t="s">
        <v>102</v>
      </c>
      <c r="H150" s="3" t="n">
        <f aca="false">B150*C150</f>
        <v>366000</v>
      </c>
    </row>
    <row r="151" customFormat="false" ht="14.25" hidden="false" customHeight="false" outlineLevel="0" collapsed="false">
      <c r="A151" s="2" t="s">
        <v>347</v>
      </c>
      <c r="B151" s="2" t="n">
        <v>53</v>
      </c>
      <c r="C151" s="3" t="n">
        <v>1500</v>
      </c>
      <c r="D151" s="3" t="n">
        <f aca="false">ROUND(C151*1.25,0)</f>
        <v>1875</v>
      </c>
      <c r="E151" s="2" t="s">
        <v>436</v>
      </c>
      <c r="F151" s="2" t="s">
        <v>437</v>
      </c>
      <c r="G151" s="2" t="s">
        <v>23</v>
      </c>
      <c r="H151" s="3" t="n">
        <f aca="false">B151*C151</f>
        <v>79500</v>
      </c>
    </row>
    <row r="152" customFormat="false" ht="14.25" hidden="false" customHeight="false" outlineLevel="0" collapsed="false">
      <c r="A152" s="2" t="s">
        <v>16</v>
      </c>
      <c r="B152" s="2" t="n">
        <v>77</v>
      </c>
      <c r="C152" s="3" t="n">
        <v>5000</v>
      </c>
      <c r="D152" s="3" t="n">
        <f aca="false">ROUND(C152*1.3,0)</f>
        <v>6500</v>
      </c>
      <c r="E152" s="2" t="s">
        <v>438</v>
      </c>
      <c r="F152" s="2" t="s">
        <v>439</v>
      </c>
      <c r="G152" s="2" t="s">
        <v>15</v>
      </c>
      <c r="H152" s="3" t="n">
        <f aca="false">B152*C152</f>
        <v>385000</v>
      </c>
    </row>
    <row r="153" customFormat="false" ht="14.25" hidden="false" customHeight="false" outlineLevel="0" collapsed="false">
      <c r="A153" s="2" t="s">
        <v>135</v>
      </c>
      <c r="B153" s="2" t="n">
        <v>52</v>
      </c>
      <c r="C153" s="3" t="n">
        <v>8000</v>
      </c>
      <c r="D153" s="3" t="n">
        <f aca="false">ROUND(C153*1.4,0)</f>
        <v>11200</v>
      </c>
      <c r="E153" s="2" t="s">
        <v>440</v>
      </c>
      <c r="F153" s="2" t="s">
        <v>441</v>
      </c>
      <c r="G153" s="2" t="s">
        <v>62</v>
      </c>
      <c r="H153" s="3" t="n">
        <f aca="false">B153*C153</f>
        <v>416000</v>
      </c>
    </row>
    <row r="154" customFormat="false" ht="14.25" hidden="false" customHeight="false" outlineLevel="0" collapsed="false">
      <c r="A154" s="2" t="s">
        <v>150</v>
      </c>
      <c r="B154" s="2" t="n">
        <v>121</v>
      </c>
      <c r="C154" s="3" t="n">
        <v>5000</v>
      </c>
      <c r="D154" s="3" t="n">
        <f aca="false">ROUND(C154*1.3,0)</f>
        <v>6500</v>
      </c>
      <c r="E154" s="2" t="s">
        <v>442</v>
      </c>
      <c r="F154" s="2" t="s">
        <v>443</v>
      </c>
      <c r="G154" s="2" t="s">
        <v>15</v>
      </c>
      <c r="H154" s="3" t="n">
        <f aca="false">B154*C154</f>
        <v>605000</v>
      </c>
    </row>
    <row r="155" customFormat="false" ht="14.25" hidden="false" customHeight="false" outlineLevel="0" collapsed="false">
      <c r="A155" s="2" t="s">
        <v>230</v>
      </c>
      <c r="B155" s="2" t="n">
        <v>25</v>
      </c>
      <c r="C155" s="3" t="n">
        <v>1500</v>
      </c>
      <c r="D155" s="3" t="n">
        <f aca="false">ROUND(C155*1.4,0)</f>
        <v>2100</v>
      </c>
      <c r="E155" s="2" t="s">
        <v>444</v>
      </c>
      <c r="F155" s="2" t="s">
        <v>445</v>
      </c>
      <c r="G155" s="2" t="s">
        <v>11</v>
      </c>
      <c r="H155" s="3" t="n">
        <f aca="false">B155*C155</f>
        <v>37500</v>
      </c>
    </row>
    <row r="156" customFormat="false" ht="14.25" hidden="false" customHeight="false" outlineLevel="0" collapsed="false">
      <c r="A156" s="2" t="s">
        <v>446</v>
      </c>
      <c r="B156" s="2" t="n">
        <v>10</v>
      </c>
      <c r="C156" s="3" t="n">
        <v>12000</v>
      </c>
      <c r="D156" s="3" t="n">
        <f aca="false">ROUND(C156*1.35,0)</f>
        <v>16200</v>
      </c>
      <c r="E156" s="2" t="s">
        <v>447</v>
      </c>
      <c r="F156" s="2" t="s">
        <v>448</v>
      </c>
      <c r="G156" s="2" t="s">
        <v>15</v>
      </c>
      <c r="H156" s="3" t="n">
        <f aca="false">B156*C156</f>
        <v>120000</v>
      </c>
    </row>
    <row r="157" customFormat="false" ht="14.25" hidden="false" customHeight="false" outlineLevel="0" collapsed="false">
      <c r="A157" s="2" t="s">
        <v>449</v>
      </c>
      <c r="B157" s="2" t="n">
        <v>41</v>
      </c>
      <c r="C157" s="3" t="n">
        <v>1200</v>
      </c>
      <c r="D157" s="3" t="n">
        <f aca="false">ROUND(C157*1.3,0)</f>
        <v>1560</v>
      </c>
      <c r="E157" s="2" t="s">
        <v>450</v>
      </c>
      <c r="F157" s="2" t="s">
        <v>451</v>
      </c>
      <c r="G157" s="2" t="s">
        <v>254</v>
      </c>
      <c r="H157" s="3" t="n">
        <f aca="false">B157*C157</f>
        <v>49200</v>
      </c>
    </row>
    <row r="158" customFormat="false" ht="14.25" hidden="false" customHeight="false" outlineLevel="0" collapsed="false">
      <c r="A158" s="2" t="s">
        <v>248</v>
      </c>
      <c r="B158" s="2" t="n">
        <v>36</v>
      </c>
      <c r="C158" s="3" t="n">
        <v>2500</v>
      </c>
      <c r="D158" s="3" t="n">
        <f aca="false">ROUND(C158*1.2,0)</f>
        <v>3000</v>
      </c>
      <c r="E158" s="2" t="s">
        <v>452</v>
      </c>
      <c r="F158" s="2" t="s">
        <v>453</v>
      </c>
      <c r="G158" s="2" t="s">
        <v>102</v>
      </c>
      <c r="H158" s="3" t="n">
        <f aca="false">B158*C158</f>
        <v>90000</v>
      </c>
    </row>
    <row r="159" customFormat="false" ht="14.25" hidden="false" customHeight="false" outlineLevel="0" collapsed="false">
      <c r="A159" s="2" t="s">
        <v>454</v>
      </c>
      <c r="B159" s="2" t="n">
        <v>4</v>
      </c>
      <c r="C159" s="3" t="n">
        <v>8000</v>
      </c>
      <c r="D159" s="3" t="n">
        <f aca="false">ROUND(C159*1.35,0)</f>
        <v>10800</v>
      </c>
      <c r="E159" s="2" t="s">
        <v>455</v>
      </c>
      <c r="F159" s="2" t="s">
        <v>456</v>
      </c>
      <c r="G159" s="2" t="s">
        <v>38</v>
      </c>
      <c r="H159" s="3" t="n">
        <f aca="false">B159*C159</f>
        <v>32000</v>
      </c>
    </row>
    <row r="160" customFormat="false" ht="14.25" hidden="false" customHeight="false" outlineLevel="0" collapsed="false">
      <c r="A160" s="2" t="s">
        <v>457</v>
      </c>
      <c r="B160" s="2" t="n">
        <v>136</v>
      </c>
      <c r="C160" s="3" t="n">
        <v>500</v>
      </c>
      <c r="D160" s="3" t="n">
        <f aca="false">ROUND(C160*1.25,0)</f>
        <v>625</v>
      </c>
      <c r="E160" s="2" t="s">
        <v>118</v>
      </c>
      <c r="F160" s="2" t="s">
        <v>458</v>
      </c>
      <c r="G160" s="2" t="s">
        <v>254</v>
      </c>
      <c r="H160" s="3" t="n">
        <f aca="false">B160*C160</f>
        <v>68000</v>
      </c>
    </row>
    <row r="161" customFormat="false" ht="14.25" hidden="false" customHeight="false" outlineLevel="0" collapsed="false">
      <c r="A161" s="2" t="s">
        <v>459</v>
      </c>
      <c r="B161" s="2" t="n">
        <v>113</v>
      </c>
      <c r="C161" s="3" t="n">
        <v>1200</v>
      </c>
      <c r="D161" s="3" t="n">
        <f aca="false">ROUND(C161*1.35,0)</f>
        <v>1620</v>
      </c>
      <c r="E161" s="2" t="s">
        <v>460</v>
      </c>
      <c r="F161" s="2" t="s">
        <v>461</v>
      </c>
      <c r="G161" s="2" t="s">
        <v>54</v>
      </c>
      <c r="H161" s="3" t="n">
        <f aca="false">B161*C161</f>
        <v>135600</v>
      </c>
    </row>
    <row r="162" customFormat="false" ht="14.25" hidden="false" customHeight="false" outlineLevel="0" collapsed="false">
      <c r="A162" s="2" t="s">
        <v>462</v>
      </c>
      <c r="B162" s="2" t="n">
        <v>27</v>
      </c>
      <c r="C162" s="3" t="n">
        <v>2000</v>
      </c>
      <c r="D162" s="3" t="n">
        <f aca="false">ROUND(C162*1.25,0)</f>
        <v>2500</v>
      </c>
      <c r="E162" s="2" t="s">
        <v>463</v>
      </c>
      <c r="F162" s="2" t="s">
        <v>464</v>
      </c>
      <c r="G162" s="2" t="s">
        <v>23</v>
      </c>
      <c r="H162" s="3" t="n">
        <f aca="false">B162*C162</f>
        <v>54000</v>
      </c>
    </row>
    <row r="163" customFormat="false" ht="14.25" hidden="false" customHeight="false" outlineLevel="0" collapsed="false">
      <c r="A163" s="2" t="s">
        <v>320</v>
      </c>
      <c r="B163" s="2" t="n">
        <v>60</v>
      </c>
      <c r="C163" s="3" t="n">
        <v>6500</v>
      </c>
      <c r="D163" s="3" t="n">
        <f aca="false">ROUND(C163*1.35,0)</f>
        <v>8775</v>
      </c>
      <c r="E163" s="2" t="s">
        <v>465</v>
      </c>
      <c r="F163" s="2" t="s">
        <v>466</v>
      </c>
      <c r="G163" s="2" t="s">
        <v>11</v>
      </c>
      <c r="H163" s="3" t="n">
        <f aca="false">B163*C163</f>
        <v>390000</v>
      </c>
    </row>
    <row r="164" customFormat="false" ht="14.25" hidden="false" customHeight="false" outlineLevel="0" collapsed="false">
      <c r="A164" s="2" t="s">
        <v>323</v>
      </c>
      <c r="B164" s="2" t="n">
        <v>51</v>
      </c>
      <c r="C164" s="3" t="n">
        <v>2500</v>
      </c>
      <c r="D164" s="3" t="n">
        <f aca="false">ROUND(C164*1.35,0)</f>
        <v>3375</v>
      </c>
      <c r="E164" s="2" t="s">
        <v>467</v>
      </c>
      <c r="F164" s="2" t="s">
        <v>468</v>
      </c>
      <c r="G164" s="2" t="s">
        <v>19</v>
      </c>
      <c r="H164" s="3" t="n">
        <f aca="false">B164*C164</f>
        <v>127500</v>
      </c>
    </row>
    <row r="165" customFormat="false" ht="14.25" hidden="false" customHeight="false" outlineLevel="0" collapsed="false">
      <c r="A165" s="2" t="s">
        <v>469</v>
      </c>
      <c r="B165" s="2" t="n">
        <v>35</v>
      </c>
      <c r="C165" s="3" t="n">
        <v>3000</v>
      </c>
      <c r="D165" s="3" t="n">
        <f aca="false">ROUND(C165*1.3,0)</f>
        <v>3900</v>
      </c>
      <c r="E165" s="2" t="s">
        <v>470</v>
      </c>
      <c r="F165" s="2" t="s">
        <v>471</v>
      </c>
      <c r="G165" s="2" t="s">
        <v>34</v>
      </c>
      <c r="H165" s="3" t="n">
        <f aca="false">B165*C165</f>
        <v>105000</v>
      </c>
    </row>
    <row r="166" customFormat="false" ht="14.25" hidden="false" customHeight="false" outlineLevel="0" collapsed="false">
      <c r="A166" s="2" t="s">
        <v>472</v>
      </c>
      <c r="B166" s="2" t="n">
        <v>24</v>
      </c>
      <c r="C166" s="3" t="n">
        <v>6500</v>
      </c>
      <c r="D166" s="3" t="n">
        <f aca="false">ROUND(C166*1.25,0)</f>
        <v>8125</v>
      </c>
      <c r="E166" s="2" t="s">
        <v>346</v>
      </c>
      <c r="F166" s="2" t="s">
        <v>473</v>
      </c>
      <c r="G166" s="2" t="s">
        <v>102</v>
      </c>
      <c r="H166" s="3" t="n">
        <f aca="false">B166*C166</f>
        <v>156000</v>
      </c>
    </row>
    <row r="167" customFormat="false" ht="14.25" hidden="false" customHeight="false" outlineLevel="0" collapsed="false">
      <c r="A167" s="2" t="s">
        <v>474</v>
      </c>
      <c r="B167" s="2" t="n">
        <v>62</v>
      </c>
      <c r="C167" s="3" t="n">
        <v>1000</v>
      </c>
      <c r="D167" s="3" t="n">
        <f aca="false">ROUND(C167*1.35,0)</f>
        <v>1350</v>
      </c>
      <c r="E167" s="2" t="s">
        <v>475</v>
      </c>
      <c r="F167" s="2" t="s">
        <v>476</v>
      </c>
      <c r="G167" s="2" t="s">
        <v>23</v>
      </c>
      <c r="H167" s="3" t="n">
        <f aca="false">B167*C167</f>
        <v>62000</v>
      </c>
    </row>
    <row r="168" customFormat="false" ht="14.25" hidden="false" customHeight="false" outlineLevel="0" collapsed="false">
      <c r="A168" s="2" t="s">
        <v>255</v>
      </c>
      <c r="B168" s="2" t="n">
        <v>38</v>
      </c>
      <c r="C168" s="3" t="n">
        <v>1200</v>
      </c>
      <c r="D168" s="3" t="n">
        <f aca="false">ROUND(C168*1.15,0)</f>
        <v>1380</v>
      </c>
      <c r="E168" s="2" t="s">
        <v>477</v>
      </c>
      <c r="F168" s="2" t="s">
        <v>478</v>
      </c>
      <c r="G168" s="2" t="s">
        <v>23</v>
      </c>
      <c r="H168" s="3" t="n">
        <f aca="false">B168*C168</f>
        <v>45600</v>
      </c>
    </row>
    <row r="169" customFormat="false" ht="14.25" hidden="false" customHeight="false" outlineLevel="0" collapsed="false">
      <c r="A169" s="2" t="s">
        <v>479</v>
      </c>
      <c r="B169" s="2" t="n">
        <v>147</v>
      </c>
      <c r="C169" s="3" t="n">
        <v>6500</v>
      </c>
      <c r="D169" s="3" t="n">
        <f aca="false">ROUND(C169*1.2,0)</f>
        <v>7800</v>
      </c>
      <c r="E169" s="2" t="s">
        <v>480</v>
      </c>
      <c r="F169" s="2" t="s">
        <v>481</v>
      </c>
      <c r="G169" s="2" t="s">
        <v>54</v>
      </c>
      <c r="H169" s="3" t="n">
        <f aca="false">B169*C169</f>
        <v>955500</v>
      </c>
    </row>
    <row r="170" customFormat="false" ht="14.25" hidden="false" customHeight="false" outlineLevel="0" collapsed="false">
      <c r="A170" s="2" t="s">
        <v>482</v>
      </c>
      <c r="B170" s="2" t="n">
        <v>9</v>
      </c>
      <c r="C170" s="3" t="n">
        <v>8000</v>
      </c>
      <c r="D170" s="3" t="n">
        <f aca="false">ROUND(C170*1.2,0)</f>
        <v>9600</v>
      </c>
      <c r="E170" s="2" t="s">
        <v>483</v>
      </c>
      <c r="F170" s="2" t="s">
        <v>484</v>
      </c>
      <c r="G170" s="2" t="s">
        <v>11</v>
      </c>
      <c r="H170" s="3" t="n">
        <f aca="false">B170*C170</f>
        <v>72000</v>
      </c>
    </row>
    <row r="171" customFormat="false" ht="14.25" hidden="false" customHeight="false" outlineLevel="0" collapsed="false">
      <c r="A171" s="2" t="s">
        <v>459</v>
      </c>
      <c r="B171" s="2" t="n">
        <v>98</v>
      </c>
      <c r="C171" s="3" t="n">
        <v>500</v>
      </c>
      <c r="D171" s="3" t="n">
        <f aca="false">ROUND(C171*1.2,0)</f>
        <v>600</v>
      </c>
      <c r="E171" s="2" t="s">
        <v>485</v>
      </c>
      <c r="F171" s="2" t="s">
        <v>486</v>
      </c>
      <c r="G171" s="2" t="s">
        <v>102</v>
      </c>
      <c r="H171" s="3" t="n">
        <f aca="false">B171*C171</f>
        <v>49000</v>
      </c>
    </row>
    <row r="172" customFormat="false" ht="14.25" hidden="false" customHeight="false" outlineLevel="0" collapsed="false">
      <c r="A172" s="2" t="s">
        <v>487</v>
      </c>
      <c r="B172" s="2" t="n">
        <v>136</v>
      </c>
      <c r="C172" s="3" t="n">
        <v>8000</v>
      </c>
      <c r="D172" s="3" t="n">
        <f aca="false">ROUND(C172*1.15,0)</f>
        <v>9200</v>
      </c>
      <c r="E172" s="2" t="s">
        <v>488</v>
      </c>
      <c r="F172" s="2" t="s">
        <v>489</v>
      </c>
      <c r="G172" s="2" t="s">
        <v>11</v>
      </c>
      <c r="H172" s="3" t="n">
        <f aca="false">B172*C172</f>
        <v>1088000</v>
      </c>
    </row>
    <row r="173" customFormat="false" ht="14.25" hidden="false" customHeight="false" outlineLevel="0" collapsed="false">
      <c r="A173" s="2" t="s">
        <v>283</v>
      </c>
      <c r="B173" s="2" t="n">
        <v>34</v>
      </c>
      <c r="C173" s="3" t="n">
        <v>3500</v>
      </c>
      <c r="D173" s="3" t="n">
        <f aca="false">ROUND(C173*1.2,0)</f>
        <v>4200</v>
      </c>
      <c r="E173" s="2" t="s">
        <v>284</v>
      </c>
      <c r="F173" s="2" t="s">
        <v>490</v>
      </c>
      <c r="G173" s="2" t="s">
        <v>69</v>
      </c>
      <c r="H173" s="3" t="n">
        <f aca="false">B173*C173</f>
        <v>119000</v>
      </c>
    </row>
    <row r="174" customFormat="false" ht="14.25" hidden="false" customHeight="false" outlineLevel="0" collapsed="false">
      <c r="A174" s="2" t="s">
        <v>491</v>
      </c>
      <c r="B174" s="2" t="n">
        <v>38</v>
      </c>
      <c r="C174" s="3" t="n">
        <v>8000</v>
      </c>
      <c r="D174" s="3" t="n">
        <f aca="false">ROUND(C174*1.3,0)</f>
        <v>10400</v>
      </c>
      <c r="E174" s="2" t="s">
        <v>492</v>
      </c>
      <c r="F174" s="2" t="s">
        <v>493</v>
      </c>
      <c r="G174" s="2" t="s">
        <v>102</v>
      </c>
      <c r="H174" s="3" t="n">
        <f aca="false">B174*C174</f>
        <v>304000</v>
      </c>
    </row>
    <row r="175" customFormat="false" ht="14.25" hidden="false" customHeight="false" outlineLevel="0" collapsed="false">
      <c r="A175" s="2" t="s">
        <v>494</v>
      </c>
      <c r="B175" s="2" t="n">
        <v>145</v>
      </c>
      <c r="C175" s="3" t="n">
        <v>10000</v>
      </c>
      <c r="D175" s="3" t="n">
        <f aca="false">ROUND(C175*1.25,0)</f>
        <v>12500</v>
      </c>
      <c r="E175" s="2" t="s">
        <v>495</v>
      </c>
      <c r="F175" s="2" t="s">
        <v>496</v>
      </c>
      <c r="G175" s="2" t="s">
        <v>27</v>
      </c>
      <c r="H175" s="3" t="n">
        <f aca="false">B175*C175</f>
        <v>1450000</v>
      </c>
    </row>
    <row r="176" customFormat="false" ht="14.25" hidden="false" customHeight="false" outlineLevel="0" collapsed="false">
      <c r="A176" s="2" t="s">
        <v>497</v>
      </c>
      <c r="B176" s="2" t="n">
        <v>112</v>
      </c>
      <c r="C176" s="3" t="n">
        <v>1200</v>
      </c>
      <c r="D176" s="3" t="n">
        <f aca="false">ROUND(C176*1.35,0)</f>
        <v>1620</v>
      </c>
      <c r="E176" s="2" t="s">
        <v>498</v>
      </c>
      <c r="F176" s="2" t="s">
        <v>499</v>
      </c>
      <c r="G176" s="2" t="s">
        <v>254</v>
      </c>
      <c r="H176" s="3" t="n">
        <f aca="false">B176*C176</f>
        <v>134400</v>
      </c>
    </row>
    <row r="177" customFormat="false" ht="14.25" hidden="false" customHeight="false" outlineLevel="0" collapsed="false">
      <c r="A177" s="2" t="s">
        <v>123</v>
      </c>
      <c r="B177" s="2" t="n">
        <v>111</v>
      </c>
      <c r="C177" s="3" t="n">
        <v>10000</v>
      </c>
      <c r="D177" s="3" t="n">
        <f aca="false">ROUND(C177*1.15,0)</f>
        <v>11500</v>
      </c>
      <c r="E177" s="2" t="s">
        <v>500</v>
      </c>
      <c r="F177" s="2" t="s">
        <v>501</v>
      </c>
      <c r="G177" s="2" t="s">
        <v>62</v>
      </c>
      <c r="H177" s="3" t="n">
        <f aca="false">B177*C177</f>
        <v>1110000</v>
      </c>
    </row>
    <row r="178" customFormat="false" ht="14.25" hidden="false" customHeight="false" outlineLevel="0" collapsed="false">
      <c r="A178" s="2" t="s">
        <v>502</v>
      </c>
      <c r="B178" s="2" t="n">
        <v>111</v>
      </c>
      <c r="C178" s="3" t="n">
        <v>8000</v>
      </c>
      <c r="D178" s="3" t="n">
        <f aca="false">ROUND(C178*1.35,0)</f>
        <v>10800</v>
      </c>
      <c r="E178" s="2" t="s">
        <v>503</v>
      </c>
      <c r="F178" s="2" t="s">
        <v>504</v>
      </c>
      <c r="G178" s="2" t="s">
        <v>23</v>
      </c>
      <c r="H178" s="3" t="n">
        <f aca="false">B178*C178</f>
        <v>888000</v>
      </c>
    </row>
    <row r="179" customFormat="false" ht="14.25" hidden="false" customHeight="false" outlineLevel="0" collapsed="false">
      <c r="A179" s="2" t="s">
        <v>505</v>
      </c>
      <c r="B179" s="2" t="n">
        <v>63</v>
      </c>
      <c r="C179" s="3" t="n">
        <v>1200</v>
      </c>
      <c r="D179" s="3" t="n">
        <f aca="false">ROUND(C179*1.3,0)</f>
        <v>1560</v>
      </c>
      <c r="E179" s="2" t="s">
        <v>506</v>
      </c>
      <c r="F179" s="2" t="s">
        <v>507</v>
      </c>
      <c r="G179" s="2" t="s">
        <v>27</v>
      </c>
      <c r="H179" s="3" t="n">
        <f aca="false">B179*C179</f>
        <v>75600</v>
      </c>
    </row>
    <row r="180" customFormat="false" ht="14.25" hidden="false" customHeight="false" outlineLevel="0" collapsed="false">
      <c r="A180" s="2" t="s">
        <v>508</v>
      </c>
      <c r="B180" s="2" t="n">
        <v>122</v>
      </c>
      <c r="C180" s="3" t="n">
        <v>1200</v>
      </c>
      <c r="D180" s="3" t="n">
        <f aca="false">ROUND(C180*1.35,0)</f>
        <v>1620</v>
      </c>
      <c r="E180" s="2" t="s">
        <v>509</v>
      </c>
      <c r="F180" s="2" t="s">
        <v>510</v>
      </c>
      <c r="G180" s="2" t="s">
        <v>62</v>
      </c>
      <c r="H180" s="3" t="n">
        <f aca="false">B180*C180</f>
        <v>146400</v>
      </c>
    </row>
    <row r="181" customFormat="false" ht="14.25" hidden="false" customHeight="false" outlineLevel="0" collapsed="false">
      <c r="A181" s="2" t="s">
        <v>114</v>
      </c>
      <c r="B181" s="2" t="n">
        <v>61</v>
      </c>
      <c r="C181" s="3" t="n">
        <v>1000</v>
      </c>
      <c r="D181" s="3" t="n">
        <f aca="false">ROUND(C181*1.4,0)</f>
        <v>1400</v>
      </c>
      <c r="E181" s="2" t="s">
        <v>511</v>
      </c>
      <c r="F181" s="2" t="s">
        <v>512</v>
      </c>
      <c r="G181" s="2" t="s">
        <v>27</v>
      </c>
      <c r="H181" s="3" t="n">
        <f aca="false">B181*C181</f>
        <v>61000</v>
      </c>
    </row>
    <row r="182" customFormat="false" ht="14.25" hidden="false" customHeight="false" outlineLevel="0" collapsed="false">
      <c r="A182" s="2" t="s">
        <v>513</v>
      </c>
      <c r="B182" s="2" t="n">
        <v>145</v>
      </c>
      <c r="C182" s="3" t="n">
        <v>2000</v>
      </c>
      <c r="D182" s="3" t="n">
        <f aca="false">ROUND(C182*1.2,0)</f>
        <v>2400</v>
      </c>
      <c r="E182" s="2" t="s">
        <v>514</v>
      </c>
      <c r="F182" s="2" t="s">
        <v>515</v>
      </c>
      <c r="G182" s="2" t="s">
        <v>76</v>
      </c>
      <c r="H182" s="3" t="n">
        <f aca="false">B182*C182</f>
        <v>290000</v>
      </c>
    </row>
    <row r="183" customFormat="false" ht="14.25" hidden="false" customHeight="false" outlineLevel="0" collapsed="false">
      <c r="A183" s="2" t="s">
        <v>516</v>
      </c>
      <c r="B183" s="2" t="n">
        <v>26</v>
      </c>
      <c r="C183" s="3" t="n">
        <v>1500</v>
      </c>
      <c r="D183" s="3" t="n">
        <f aca="false">ROUND(C183*1.15,0)</f>
        <v>1725</v>
      </c>
      <c r="E183" s="2" t="s">
        <v>517</v>
      </c>
      <c r="F183" s="2" t="s">
        <v>518</v>
      </c>
      <c r="G183" s="2" t="s">
        <v>102</v>
      </c>
      <c r="H183" s="3" t="n">
        <f aca="false">B183*C183</f>
        <v>39000</v>
      </c>
    </row>
    <row r="184" customFormat="false" ht="14.25" hidden="false" customHeight="false" outlineLevel="0" collapsed="false">
      <c r="A184" s="2" t="s">
        <v>519</v>
      </c>
      <c r="B184" s="2" t="n">
        <v>63</v>
      </c>
      <c r="C184" s="3" t="n">
        <v>4000</v>
      </c>
      <c r="D184" s="3" t="n">
        <f aca="false">ROUND(C184*1.15,0)</f>
        <v>4600</v>
      </c>
      <c r="E184" s="2" t="s">
        <v>520</v>
      </c>
      <c r="F184" s="2" t="s">
        <v>521</v>
      </c>
      <c r="G184" s="2" t="s">
        <v>15</v>
      </c>
      <c r="H184" s="3" t="n">
        <f aca="false">B184*C184</f>
        <v>252000</v>
      </c>
    </row>
    <row r="185" customFormat="false" ht="14.25" hidden="false" customHeight="false" outlineLevel="0" collapsed="false">
      <c r="A185" s="2" t="s">
        <v>522</v>
      </c>
      <c r="B185" s="2" t="n">
        <v>136</v>
      </c>
      <c r="C185" s="3" t="n">
        <v>8000</v>
      </c>
      <c r="D185" s="3" t="n">
        <f aca="false">ROUND(C185*1.2,0)</f>
        <v>9600</v>
      </c>
      <c r="E185" s="2" t="s">
        <v>523</v>
      </c>
      <c r="F185" s="2" t="s">
        <v>524</v>
      </c>
      <c r="G185" s="2" t="s">
        <v>156</v>
      </c>
      <c r="H185" s="3" t="n">
        <f aca="false">B185*C185</f>
        <v>1088000</v>
      </c>
    </row>
    <row r="186" customFormat="false" ht="14.25" hidden="false" customHeight="false" outlineLevel="0" collapsed="false">
      <c r="A186" s="2" t="s">
        <v>525</v>
      </c>
      <c r="B186" s="2" t="n">
        <v>8</v>
      </c>
      <c r="C186" s="3" t="n">
        <v>12000</v>
      </c>
      <c r="D186" s="3" t="n">
        <f aca="false">ROUND(C186*1.25,0)</f>
        <v>15000</v>
      </c>
      <c r="E186" s="2" t="s">
        <v>526</v>
      </c>
      <c r="F186" s="2" t="s">
        <v>527</v>
      </c>
      <c r="G186" s="2" t="s">
        <v>102</v>
      </c>
      <c r="H186" s="3" t="n">
        <f aca="false">B186*C186</f>
        <v>96000</v>
      </c>
    </row>
    <row r="187" customFormat="false" ht="14.25" hidden="false" customHeight="false" outlineLevel="0" collapsed="false">
      <c r="A187" s="2" t="s">
        <v>528</v>
      </c>
      <c r="B187" s="2" t="n">
        <v>53</v>
      </c>
      <c r="C187" s="3" t="n">
        <v>2500</v>
      </c>
      <c r="D187" s="3" t="n">
        <f aca="false">ROUND(C187*1.25,0)</f>
        <v>3125</v>
      </c>
      <c r="E187" s="2" t="s">
        <v>529</v>
      </c>
      <c r="F187" s="2" t="s">
        <v>530</v>
      </c>
      <c r="G187" s="2" t="s">
        <v>156</v>
      </c>
      <c r="H187" s="3" t="n">
        <f aca="false">B187*C187</f>
        <v>132500</v>
      </c>
    </row>
    <row r="188" customFormat="false" ht="14.25" hidden="false" customHeight="false" outlineLevel="0" collapsed="false">
      <c r="A188" s="2" t="s">
        <v>531</v>
      </c>
      <c r="B188" s="2" t="n">
        <v>121</v>
      </c>
      <c r="C188" s="3" t="n">
        <v>500</v>
      </c>
      <c r="D188" s="3" t="n">
        <f aca="false">ROUND(C188*1.2,0)</f>
        <v>600</v>
      </c>
      <c r="E188" s="2" t="s">
        <v>532</v>
      </c>
      <c r="F188" s="2" t="s">
        <v>533</v>
      </c>
      <c r="G188" s="2" t="s">
        <v>156</v>
      </c>
      <c r="H188" s="3" t="n">
        <f aca="false">B188*C188</f>
        <v>60500</v>
      </c>
    </row>
    <row r="189" customFormat="false" ht="14.25" hidden="false" customHeight="false" outlineLevel="0" collapsed="false">
      <c r="A189" s="2" t="s">
        <v>534</v>
      </c>
      <c r="B189" s="2" t="n">
        <v>61</v>
      </c>
      <c r="C189" s="3" t="n">
        <v>2500</v>
      </c>
      <c r="D189" s="3" t="n">
        <f aca="false">ROUND(C189*1.15,0)</f>
        <v>2875</v>
      </c>
      <c r="E189" s="2" t="s">
        <v>514</v>
      </c>
      <c r="F189" s="2" t="s">
        <v>535</v>
      </c>
      <c r="G189" s="2" t="s">
        <v>62</v>
      </c>
      <c r="H189" s="3" t="n">
        <f aca="false">B189*C189</f>
        <v>152500</v>
      </c>
    </row>
    <row r="190" customFormat="false" ht="14.25" hidden="false" customHeight="false" outlineLevel="0" collapsed="false">
      <c r="A190" s="2" t="s">
        <v>536</v>
      </c>
      <c r="B190" s="2" t="n">
        <v>71</v>
      </c>
      <c r="C190" s="3" t="n">
        <v>10000</v>
      </c>
      <c r="D190" s="3" t="n">
        <f aca="false">ROUND(C190*1.4,0)</f>
        <v>14000</v>
      </c>
      <c r="E190" s="2" t="s">
        <v>537</v>
      </c>
      <c r="F190" s="2" t="s">
        <v>538</v>
      </c>
      <c r="G190" s="2" t="s">
        <v>34</v>
      </c>
      <c r="H190" s="3" t="n">
        <f aca="false">B190*C190</f>
        <v>710000</v>
      </c>
    </row>
    <row r="191" customFormat="false" ht="14.25" hidden="false" customHeight="false" outlineLevel="0" collapsed="false">
      <c r="A191" s="2" t="s">
        <v>539</v>
      </c>
      <c r="B191" s="2" t="n">
        <v>107</v>
      </c>
      <c r="C191" s="3" t="n">
        <v>1000</v>
      </c>
      <c r="D191" s="3" t="n">
        <f aca="false">ROUND(C191*1.2,0)</f>
        <v>1200</v>
      </c>
      <c r="E191" s="2" t="s">
        <v>540</v>
      </c>
      <c r="F191" s="2" t="s">
        <v>541</v>
      </c>
      <c r="G191" s="2" t="s">
        <v>15</v>
      </c>
      <c r="H191" s="3" t="n">
        <f aca="false">B191*C191</f>
        <v>107000</v>
      </c>
    </row>
    <row r="192" customFormat="false" ht="14.25" hidden="false" customHeight="false" outlineLevel="0" collapsed="false">
      <c r="A192" s="2" t="s">
        <v>542</v>
      </c>
      <c r="B192" s="2" t="n">
        <v>51</v>
      </c>
      <c r="C192" s="3" t="n">
        <v>3500</v>
      </c>
      <c r="D192" s="3" t="n">
        <f aca="false">ROUND(C192*1.2,0)</f>
        <v>4200</v>
      </c>
      <c r="E192" s="2" t="s">
        <v>543</v>
      </c>
      <c r="F192" s="2" t="s">
        <v>544</v>
      </c>
      <c r="G192" s="2" t="s">
        <v>54</v>
      </c>
      <c r="H192" s="3" t="n">
        <f aca="false">B192*C192</f>
        <v>178500</v>
      </c>
    </row>
    <row r="193" customFormat="false" ht="14.25" hidden="false" customHeight="false" outlineLevel="0" collapsed="false">
      <c r="A193" s="2" t="s">
        <v>545</v>
      </c>
      <c r="B193" s="2" t="n">
        <v>70</v>
      </c>
      <c r="C193" s="3" t="n">
        <v>6500</v>
      </c>
      <c r="D193" s="3" t="n">
        <f aca="false">ROUND(C193*1.4,0)</f>
        <v>9100</v>
      </c>
      <c r="E193" s="2" t="s">
        <v>192</v>
      </c>
      <c r="F193" s="2" t="s">
        <v>546</v>
      </c>
      <c r="G193" s="2" t="s">
        <v>76</v>
      </c>
      <c r="H193" s="3" t="n">
        <f aca="false">B193*C193</f>
        <v>455000</v>
      </c>
    </row>
    <row r="194" customFormat="false" ht="14.25" hidden="false" customHeight="false" outlineLevel="0" collapsed="false">
      <c r="A194" s="2" t="s">
        <v>224</v>
      </c>
      <c r="B194" s="2" t="n">
        <v>78</v>
      </c>
      <c r="C194" s="3" t="n">
        <v>2000</v>
      </c>
      <c r="D194" s="3" t="n">
        <f aca="false">ROUND(C194*1.4,0)</f>
        <v>2800</v>
      </c>
      <c r="E194" s="2" t="s">
        <v>547</v>
      </c>
      <c r="F194" s="2" t="s">
        <v>548</v>
      </c>
      <c r="G194" s="2" t="s">
        <v>11</v>
      </c>
      <c r="H194" s="3" t="n">
        <f aca="false">B194*C194</f>
        <v>156000</v>
      </c>
    </row>
    <row r="195" customFormat="false" ht="14.25" hidden="false" customHeight="false" outlineLevel="0" collapsed="false">
      <c r="A195" s="2" t="s">
        <v>549</v>
      </c>
      <c r="B195" s="2" t="n">
        <v>24</v>
      </c>
      <c r="C195" s="3" t="n">
        <v>12000</v>
      </c>
      <c r="D195" s="3" t="n">
        <f aca="false">ROUND(C195*1.15,0)</f>
        <v>13800</v>
      </c>
      <c r="E195" s="2" t="s">
        <v>550</v>
      </c>
      <c r="F195" s="2" t="s">
        <v>551</v>
      </c>
      <c r="G195" s="2" t="s">
        <v>15</v>
      </c>
      <c r="H195" s="3" t="n">
        <f aca="false">B195*C195</f>
        <v>288000</v>
      </c>
    </row>
    <row r="196" customFormat="false" ht="14.25" hidden="false" customHeight="false" outlineLevel="0" collapsed="false">
      <c r="A196" s="2" t="s">
        <v>552</v>
      </c>
      <c r="B196" s="2" t="n">
        <v>2</v>
      </c>
      <c r="C196" s="3" t="n">
        <v>4000</v>
      </c>
      <c r="D196" s="3" t="n">
        <f aca="false">ROUND(C196*1.35,0)</f>
        <v>5400</v>
      </c>
      <c r="E196" s="2" t="s">
        <v>553</v>
      </c>
      <c r="F196" s="2" t="s">
        <v>554</v>
      </c>
      <c r="G196" s="2" t="s">
        <v>38</v>
      </c>
      <c r="H196" s="3" t="n">
        <f aca="false">B196*C196</f>
        <v>8000</v>
      </c>
    </row>
    <row r="197" customFormat="false" ht="14.25" hidden="false" customHeight="false" outlineLevel="0" collapsed="false">
      <c r="A197" s="2" t="s">
        <v>66</v>
      </c>
      <c r="B197" s="2" t="n">
        <v>43</v>
      </c>
      <c r="C197" s="3" t="n">
        <v>4000</v>
      </c>
      <c r="D197" s="3" t="n">
        <f aca="false">ROUND(C197*1.2,0)</f>
        <v>4800</v>
      </c>
      <c r="E197" s="2" t="s">
        <v>555</v>
      </c>
      <c r="F197" s="2" t="s">
        <v>556</v>
      </c>
      <c r="G197" s="2" t="s">
        <v>62</v>
      </c>
      <c r="H197" s="3" t="n">
        <f aca="false">B197*C197</f>
        <v>172000</v>
      </c>
    </row>
    <row r="198" customFormat="false" ht="14.25" hidden="false" customHeight="false" outlineLevel="0" collapsed="false">
      <c r="A198" s="2" t="s">
        <v>557</v>
      </c>
      <c r="B198" s="2" t="n">
        <v>8</v>
      </c>
      <c r="C198" s="3" t="n">
        <v>2000</v>
      </c>
      <c r="D198" s="3" t="n">
        <f aca="false">ROUND(C198*1.2,0)</f>
        <v>2400</v>
      </c>
      <c r="E198" s="2" t="s">
        <v>558</v>
      </c>
      <c r="F198" s="2" t="s">
        <v>559</v>
      </c>
      <c r="G198" s="2" t="s">
        <v>102</v>
      </c>
      <c r="H198" s="3" t="n">
        <f aca="false">B198*C198</f>
        <v>16000</v>
      </c>
    </row>
    <row r="199" customFormat="false" ht="14.25" hidden="false" customHeight="false" outlineLevel="0" collapsed="false">
      <c r="A199" s="2" t="s">
        <v>560</v>
      </c>
      <c r="B199" s="2" t="n">
        <v>99</v>
      </c>
      <c r="C199" s="3" t="n">
        <v>500</v>
      </c>
      <c r="D199" s="3" t="n">
        <f aca="false">ROUND(C199*1.3,0)</f>
        <v>650</v>
      </c>
      <c r="E199" s="2" t="s">
        <v>561</v>
      </c>
      <c r="F199" s="2" t="s">
        <v>562</v>
      </c>
      <c r="G199" s="2" t="s">
        <v>15</v>
      </c>
      <c r="H199" s="3" t="n">
        <f aca="false">B199*C199</f>
        <v>49500</v>
      </c>
    </row>
    <row r="200" customFormat="false" ht="14.25" hidden="false" customHeight="false" outlineLevel="0" collapsed="false">
      <c r="A200" s="2" t="s">
        <v>563</v>
      </c>
      <c r="B200" s="2" t="n">
        <v>93</v>
      </c>
      <c r="C200" s="3" t="n">
        <v>5000</v>
      </c>
      <c r="D200" s="3" t="n">
        <f aca="false">ROUND(C200*1.4,0)</f>
        <v>7000</v>
      </c>
      <c r="E200" s="2" t="s">
        <v>564</v>
      </c>
      <c r="F200" s="2" t="s">
        <v>565</v>
      </c>
      <c r="G200" s="2" t="s">
        <v>54</v>
      </c>
      <c r="H200" s="3" t="n">
        <f aca="false">B200*C200</f>
        <v>465000</v>
      </c>
    </row>
    <row r="201" customFormat="false" ht="14.25" hidden="false" customHeight="false" outlineLevel="0" collapsed="false">
      <c r="A201" s="2" t="s">
        <v>566</v>
      </c>
      <c r="B201" s="2" t="n">
        <v>134</v>
      </c>
      <c r="C201" s="3" t="n">
        <v>2000</v>
      </c>
      <c r="D201" s="3" t="n">
        <f aca="false">ROUND(C201*1.35,0)</f>
        <v>2700</v>
      </c>
      <c r="E201" s="2" t="s">
        <v>567</v>
      </c>
      <c r="F201" s="2" t="s">
        <v>568</v>
      </c>
      <c r="G201" s="2" t="s">
        <v>15</v>
      </c>
      <c r="H201" s="3" t="n">
        <f aca="false">B201*C201</f>
        <v>268000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2026-08-11T13:55:33Z</dcterms:created>
  <dc:creator>Jhon Sebastian Molina Fierro</dc:creator>
  <dc:description/>
  <dc:language>en-US</dc:language>
  <cp:lastModifiedBy>Jhon Sebastian Molina Fierro</cp:lastModifiedBy>
  <cp:lastPrinted>2026-08-11T13:58:17Z</cp:lastPrinted>
  <dcterms:modified xsi:type="dcterms:W3CDTF">2026-08-18T13:58:35Z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