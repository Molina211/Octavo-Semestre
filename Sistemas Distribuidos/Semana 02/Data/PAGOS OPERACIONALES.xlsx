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mpresa travesia natural\ADM 2026\"/>
    </mc:Choice>
  </mc:AlternateContent>
  <xr:revisionPtr revIDLastSave="0" documentId="13_ncr:1_{80A638D4-3FF0-4035-9108-9D0840A63350}" xr6:coauthVersionLast="47" xr6:coauthVersionMax="47" xr10:uidLastSave="{00000000-0000-0000-0000-000000000000}"/>
  <bookViews>
    <workbookView xWindow="-110" yWindow="-110" windowWidth="19420" windowHeight="10300" xr2:uid="{CE58A8A1-6B63-4EC7-862C-98D00292B89B}"/>
  </bookViews>
  <sheets>
    <sheet name="ENERO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8" l="1"/>
  <c r="C18" i="8"/>
  <c r="J23" i="8"/>
  <c r="C32" i="8"/>
  <c r="C30" i="8"/>
  <c r="J31" i="8" l="1"/>
  <c r="J29" i="8"/>
  <c r="D30" i="8"/>
  <c r="J26" i="8"/>
  <c r="J16" i="8"/>
  <c r="C14" i="8"/>
  <c r="J12" i="8" s="1"/>
  <c r="J20" i="8"/>
  <c r="J9" i="8"/>
  <c r="J6" i="8"/>
  <c r="J3" i="8"/>
  <c r="J38" i="8" l="1"/>
</calcChain>
</file>

<file path=xl/sharedStrings.xml><?xml version="1.0" encoding="utf-8"?>
<sst xmlns="http://schemas.openxmlformats.org/spreadsheetml/2006/main" count="82" uniqueCount="42">
  <si>
    <t>N. DE RESERVAS</t>
  </si>
  <si>
    <t>atractivo</t>
  </si>
  <si>
    <t xml:space="preserve">alimentacion </t>
  </si>
  <si>
    <t xml:space="preserve">alimentacion (guia) </t>
  </si>
  <si>
    <t>hospedaje</t>
  </si>
  <si>
    <t xml:space="preserve">poliza </t>
  </si>
  <si>
    <t xml:space="preserve">guia </t>
  </si>
  <si>
    <t>TOTAL</t>
  </si>
  <si>
    <t>N/A</t>
  </si>
  <si>
    <t>fecha</t>
  </si>
  <si>
    <t>transporte</t>
  </si>
  <si>
    <t>RESTAURANTE MIRIAM</t>
  </si>
  <si>
    <t>HOTEL SAN FELIPE</t>
  </si>
  <si>
    <t>HOTEL SAN FELIE</t>
  </si>
  <si>
    <t>TRONERA  100.000</t>
  </si>
  <si>
    <t>hostal san felipe</t>
  </si>
  <si>
    <t xml:space="preserve">CERRO         PANDORA   210.000    TRONERA   51.000  </t>
  </si>
  <si>
    <t>SIMON 60.000
CHARITH 60.000</t>
  </si>
  <si>
    <t>4.OOO</t>
  </si>
  <si>
    <t>CERRO SIMÓN 50.000
ORO EDISSON 50.000</t>
  </si>
  <si>
    <t>CERRO CHUS 50.000
TRONERA CHUS 50.000</t>
  </si>
  <si>
    <t>CHUS COMPARTIDA CON RESERVA 69</t>
  </si>
  <si>
    <t>CERRO SIMON RESERVA 70
ORO EDISSON 50.000</t>
  </si>
  <si>
    <t>TRONERA EDISSON 50.000</t>
  </si>
  <si>
    <t>RESERVA 69</t>
  </si>
  <si>
    <t xml:space="preserve">    ORO       26.000    </t>
  </si>
  <si>
    <t>CERRO SIMON 50.000 
ORO EDISSON 50.000</t>
  </si>
  <si>
    <t>EDISSON 50.000</t>
  </si>
  <si>
    <t>LABERINTO 120.000</t>
  </si>
  <si>
    <t>JACOBINO CHUS Y SIMON 100.000 
TRONERA CHUS 50.000</t>
  </si>
  <si>
    <t>HOTEL SAN FELIPE 70.000</t>
  </si>
  <si>
    <t>HOTEL SAN FELIPE 140.000</t>
  </si>
  <si>
    <t xml:space="preserve"> TRONERA   102.000    JACOBINO    280.000</t>
  </si>
  <si>
    <t>PANDORA 80.000</t>
  </si>
  <si>
    <t xml:space="preserve">PANDORA   160.000    </t>
  </si>
  <si>
    <t>PANDORA   160.000    TRONERA   51.000</t>
  </si>
  <si>
    <t xml:space="preserve">CERRO      ORO       23000    PANDORA   320.000      </t>
  </si>
  <si>
    <t>DESCENSO TRONERA 350.000
CAMINATA TRONERA 100.000</t>
  </si>
  <si>
    <t>SIMON 50.000</t>
  </si>
  <si>
    <t>ORO 39.000
BROMELIAS 120.000</t>
  </si>
  <si>
    <t xml:space="preserve">MOTOS LEYTON, SIMON, OTRAS DOS MOTO Y LLEVADA DEL ALMUERZO 210.000
</t>
  </si>
  <si>
    <t xml:space="preserve">PANDORA  160.000      ORO      26.000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</si>
</sst>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2" fillId="4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64" fontId="3" fillId="3" borderId="1" xfId="1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2" fillId="4" borderId="2" xfId="2" applyNumberFormat="1" applyBorder="1" applyAlignment="1">
      <alignment horizontal="center" vertical="center" wrapText="1"/>
    </xf>
    <xf numFmtId="164" fontId="2" fillId="4" borderId="3" xfId="2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2" fillId="4" borderId="4" xfId="2" applyNumberFormat="1" applyBorder="1" applyAlignment="1">
      <alignment horizontal="center" vertical="center" wrapText="1"/>
    </xf>
  </cellXfs>
  <cellStyles count="3">
    <cellStyle name="20% - Énfasis1" xfId="2" builtinId="30"/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E8AC-84AA-4829-BC0A-BE10AA4EB3BA}">
  <dimension ref="A1:J38"/>
  <sheetViews>
    <sheetView tabSelected="1" zoomScale="65" workbookViewId="0">
      <pane ySplit="1" topLeftCell="A27" activePane="bottomLeft" state="frozen"/>
      <selection pane="bottomLeft" activeCell="C18" sqref="C18"/>
    </sheetView>
  </sheetViews>
  <sheetFormatPr baseColWidth="10" defaultRowHeight="14.5" x14ac:dyDescent="0.35"/>
  <cols>
    <col min="3" max="3" width="11.36328125" bestFit="1" customWidth="1"/>
    <col min="4" max="4" width="12.81640625" customWidth="1"/>
    <col min="5" max="5" width="13.54296875" customWidth="1"/>
    <col min="6" max="6" width="12.08984375" customWidth="1"/>
    <col min="7" max="7" width="11" bestFit="1" customWidth="1"/>
    <col min="8" max="8" width="11.26953125" bestFit="1" customWidth="1"/>
    <col min="9" max="9" width="12.6328125" customWidth="1"/>
    <col min="10" max="10" width="12.81640625" style="14" bestFit="1" customWidth="1"/>
  </cols>
  <sheetData>
    <row r="1" spans="1:10" s="8" customFormat="1" ht="29" x14ac:dyDescent="0.35">
      <c r="A1" s="18" t="s">
        <v>0</v>
      </c>
      <c r="B1" s="18" t="s">
        <v>9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10</v>
      </c>
      <c r="I1" s="18" t="s">
        <v>6</v>
      </c>
      <c r="J1" s="19" t="s">
        <v>7</v>
      </c>
    </row>
    <row r="2" spans="1:10" x14ac:dyDescent="0.35">
      <c r="A2" s="3"/>
    </row>
    <row r="3" spans="1:10" ht="72.5" x14ac:dyDescent="0.35">
      <c r="A3" s="4">
        <v>69</v>
      </c>
      <c r="B3" s="11">
        <v>46029</v>
      </c>
      <c r="C3" s="4" t="s">
        <v>16</v>
      </c>
      <c r="D3" s="4" t="s">
        <v>11</v>
      </c>
      <c r="E3" s="6">
        <v>12000</v>
      </c>
      <c r="F3" s="4" t="s">
        <v>15</v>
      </c>
      <c r="G3" s="6">
        <v>24000</v>
      </c>
      <c r="H3" s="4" t="s">
        <v>8</v>
      </c>
      <c r="I3" s="4" t="s">
        <v>20</v>
      </c>
      <c r="J3" s="24">
        <f>SUM(C4:I4)</f>
        <v>397000</v>
      </c>
    </row>
    <row r="4" spans="1:10" s="14" customFormat="1" x14ac:dyDescent="0.35">
      <c r="A4" s="15"/>
      <c r="B4" s="15"/>
      <c r="C4" s="15">
        <v>261000</v>
      </c>
      <c r="D4" s="15"/>
      <c r="E4" s="15">
        <v>12000</v>
      </c>
      <c r="F4" s="15"/>
      <c r="G4" s="15">
        <v>24000</v>
      </c>
      <c r="H4" s="15"/>
      <c r="I4" s="15">
        <v>100000</v>
      </c>
      <c r="J4" s="25"/>
    </row>
    <row r="5" spans="1:10" x14ac:dyDescent="0.35">
      <c r="A5" s="1"/>
      <c r="B5" s="10"/>
      <c r="C5" s="1"/>
      <c r="D5" s="1"/>
      <c r="E5" s="1"/>
      <c r="F5" s="1"/>
      <c r="G5" s="1"/>
      <c r="H5" s="1"/>
      <c r="I5" s="1"/>
      <c r="J5" s="9"/>
    </row>
    <row r="6" spans="1:10" ht="58" x14ac:dyDescent="0.35">
      <c r="A6" s="4">
        <v>70</v>
      </c>
      <c r="B6" s="11">
        <v>46030</v>
      </c>
      <c r="C6" s="4" t="s">
        <v>41</v>
      </c>
      <c r="D6" s="4" t="s">
        <v>11</v>
      </c>
      <c r="E6" s="4" t="s">
        <v>8</v>
      </c>
      <c r="F6" s="4" t="s">
        <v>12</v>
      </c>
      <c r="G6" s="6">
        <v>8000</v>
      </c>
      <c r="H6" s="4" t="s">
        <v>17</v>
      </c>
      <c r="I6" s="4" t="s">
        <v>19</v>
      </c>
      <c r="J6" s="24">
        <f>SUM(C7:I7)</f>
        <v>414000</v>
      </c>
    </row>
    <row r="7" spans="1:10" s="14" customFormat="1" x14ac:dyDescent="0.35">
      <c r="A7" s="15"/>
      <c r="B7" s="15"/>
      <c r="C7" s="16">
        <f>160000+26000</f>
        <v>186000</v>
      </c>
      <c r="D7" s="15"/>
      <c r="E7" s="15"/>
      <c r="F7" s="15"/>
      <c r="G7" s="15">
        <v>8000</v>
      </c>
      <c r="H7" s="15">
        <v>120000</v>
      </c>
      <c r="I7" s="17">
        <v>100000</v>
      </c>
      <c r="J7" s="25"/>
    </row>
    <row r="8" spans="1:10" x14ac:dyDescent="0.35">
      <c r="A8" s="1"/>
      <c r="B8" s="10"/>
      <c r="C8" s="1"/>
      <c r="D8" s="1"/>
      <c r="E8" s="1"/>
      <c r="F8" s="1"/>
      <c r="G8" s="1"/>
      <c r="H8" s="1"/>
      <c r="I8" s="1"/>
      <c r="J8" s="9"/>
    </row>
    <row r="9" spans="1:10" ht="58" x14ac:dyDescent="0.35">
      <c r="A9" s="4">
        <v>71</v>
      </c>
      <c r="B9" s="11">
        <v>46029</v>
      </c>
      <c r="C9" s="4" t="s">
        <v>14</v>
      </c>
      <c r="D9" s="4" t="s">
        <v>11</v>
      </c>
      <c r="E9" s="4" t="s">
        <v>24</v>
      </c>
      <c r="F9" s="4" t="s">
        <v>13</v>
      </c>
      <c r="G9" s="4" t="s">
        <v>18</v>
      </c>
      <c r="H9" s="4" t="s">
        <v>8</v>
      </c>
      <c r="I9" s="4" t="s">
        <v>21</v>
      </c>
      <c r="J9" s="24">
        <f>SUM(C10:I10)</f>
        <v>29500</v>
      </c>
    </row>
    <row r="10" spans="1:10" s="14" customFormat="1" x14ac:dyDescent="0.35">
      <c r="A10" s="15"/>
      <c r="B10" s="15"/>
      <c r="C10" s="15">
        <v>25500</v>
      </c>
      <c r="D10" s="15"/>
      <c r="E10" s="15"/>
      <c r="F10" s="15"/>
      <c r="G10" s="15">
        <v>4000</v>
      </c>
      <c r="H10" s="15"/>
      <c r="I10" s="15"/>
      <c r="J10" s="25"/>
    </row>
    <row r="11" spans="1:10" x14ac:dyDescent="0.35">
      <c r="A11" s="1"/>
      <c r="B11" s="10"/>
      <c r="C11" s="1"/>
      <c r="D11" s="1"/>
      <c r="E11" s="1"/>
      <c r="F11" s="1"/>
      <c r="G11" s="1"/>
      <c r="H11" s="1"/>
      <c r="I11" s="1"/>
      <c r="J11" s="9"/>
    </row>
    <row r="12" spans="1:10" ht="72.5" x14ac:dyDescent="0.35">
      <c r="A12" s="21">
        <v>72</v>
      </c>
      <c r="B12" s="11">
        <v>46029</v>
      </c>
      <c r="C12" s="4" t="s">
        <v>25</v>
      </c>
      <c r="D12" s="4" t="s">
        <v>11</v>
      </c>
      <c r="E12" s="4" t="s">
        <v>8</v>
      </c>
      <c r="F12" s="4" t="s">
        <v>30</v>
      </c>
      <c r="G12" s="6">
        <v>8000</v>
      </c>
      <c r="H12" s="4" t="s">
        <v>8</v>
      </c>
      <c r="I12" s="4" t="s">
        <v>22</v>
      </c>
      <c r="J12" s="24">
        <f>SUM(C14:I14)</f>
        <v>493000</v>
      </c>
    </row>
    <row r="13" spans="1:10" ht="58" x14ac:dyDescent="0.35">
      <c r="A13" s="23"/>
      <c r="B13" s="11">
        <v>46030</v>
      </c>
      <c r="C13" s="4" t="s">
        <v>35</v>
      </c>
      <c r="D13" s="4" t="s">
        <v>11</v>
      </c>
      <c r="E13" s="6" t="s">
        <v>8</v>
      </c>
      <c r="F13" s="4" t="s">
        <v>30</v>
      </c>
      <c r="G13" s="6">
        <v>8000</v>
      </c>
      <c r="H13" s="4" t="s">
        <v>8</v>
      </c>
      <c r="I13" s="4" t="s">
        <v>23</v>
      </c>
      <c r="J13" s="27"/>
    </row>
    <row r="14" spans="1:10" s="14" customFormat="1" x14ac:dyDescent="0.35">
      <c r="A14" s="15"/>
      <c r="B14" s="15"/>
      <c r="C14" s="15">
        <f>26000+160000+51000</f>
        <v>237000</v>
      </c>
      <c r="D14" s="15"/>
      <c r="E14" s="15"/>
      <c r="F14" s="15">
        <v>140000</v>
      </c>
      <c r="G14" s="15">
        <v>16000</v>
      </c>
      <c r="H14" s="15"/>
      <c r="I14" s="15">
        <v>100000</v>
      </c>
      <c r="J14" s="25"/>
    </row>
    <row r="15" spans="1:10" x14ac:dyDescent="0.35">
      <c r="A15" s="1"/>
      <c r="B15" s="1"/>
      <c r="C15" s="1"/>
      <c r="D15" s="1"/>
      <c r="E15" s="1"/>
      <c r="F15" s="1"/>
      <c r="G15" s="1"/>
      <c r="H15" s="1"/>
      <c r="I15" s="1"/>
      <c r="J15" s="9"/>
    </row>
    <row r="16" spans="1:10" ht="72.5" x14ac:dyDescent="0.35">
      <c r="A16" s="26">
        <v>73</v>
      </c>
      <c r="B16" s="11">
        <v>46037</v>
      </c>
      <c r="C16" s="4" t="s">
        <v>36</v>
      </c>
      <c r="D16" s="4" t="s">
        <v>11</v>
      </c>
      <c r="E16" s="6" t="s">
        <v>8</v>
      </c>
      <c r="F16" s="4" t="s">
        <v>31</v>
      </c>
      <c r="G16" s="6">
        <v>16000</v>
      </c>
      <c r="H16" s="4" t="s">
        <v>8</v>
      </c>
      <c r="I16" s="4" t="s">
        <v>26</v>
      </c>
      <c r="J16" s="24">
        <f>SUM(C18:I18)</f>
        <v>907000</v>
      </c>
    </row>
    <row r="17" spans="1:10" ht="87" x14ac:dyDescent="0.35">
      <c r="A17" s="26"/>
      <c r="B17" s="11">
        <v>46038</v>
      </c>
      <c r="C17" s="4" t="s">
        <v>32</v>
      </c>
      <c r="D17" s="4" t="s">
        <v>11</v>
      </c>
      <c r="E17" s="4"/>
      <c r="F17" s="4" t="s">
        <v>31</v>
      </c>
      <c r="G17" s="6">
        <v>16000</v>
      </c>
      <c r="H17" s="4" t="s">
        <v>8</v>
      </c>
      <c r="I17" s="4" t="s">
        <v>29</v>
      </c>
      <c r="J17" s="27"/>
    </row>
    <row r="18" spans="1:10" s="14" customFormat="1" x14ac:dyDescent="0.35">
      <c r="A18" s="15"/>
      <c r="B18" s="15"/>
      <c r="C18" s="16">
        <f>23000+320000+102000</f>
        <v>445000</v>
      </c>
      <c r="D18" s="15"/>
      <c r="E18" s="15"/>
      <c r="F18" s="15">
        <v>280000</v>
      </c>
      <c r="G18" s="16">
        <v>32000</v>
      </c>
      <c r="H18" s="15"/>
      <c r="I18" s="15">
        <v>150000</v>
      </c>
      <c r="J18" s="25"/>
    </row>
    <row r="19" spans="1:10" x14ac:dyDescent="0.35">
      <c r="A19" s="5"/>
      <c r="B19" s="10"/>
      <c r="C19" s="1"/>
      <c r="D19" s="1"/>
      <c r="E19" s="12"/>
      <c r="F19" s="1"/>
      <c r="G19" s="1"/>
      <c r="H19" s="1"/>
      <c r="I19" s="1"/>
      <c r="J19" s="9"/>
    </row>
    <row r="20" spans="1:10" ht="29" x14ac:dyDescent="0.35">
      <c r="A20" s="4">
        <v>74</v>
      </c>
      <c r="B20" s="11">
        <v>46037</v>
      </c>
      <c r="C20" s="4" t="s">
        <v>34</v>
      </c>
      <c r="D20" s="4" t="s">
        <v>11</v>
      </c>
      <c r="E20" s="1" t="s">
        <v>8</v>
      </c>
      <c r="F20" s="4" t="s">
        <v>12</v>
      </c>
      <c r="G20" s="4" t="s">
        <v>8</v>
      </c>
      <c r="H20" s="4" t="s">
        <v>8</v>
      </c>
      <c r="I20" s="4" t="s">
        <v>8</v>
      </c>
      <c r="J20" s="24">
        <f>SUM(C21:I21)</f>
        <v>160000</v>
      </c>
    </row>
    <row r="21" spans="1:10" s="14" customFormat="1" x14ac:dyDescent="0.35">
      <c r="A21" s="15"/>
      <c r="B21" s="15"/>
      <c r="C21" s="15">
        <v>160000</v>
      </c>
      <c r="D21" s="15"/>
      <c r="E21" s="15"/>
      <c r="F21" s="15"/>
      <c r="G21" s="15"/>
      <c r="H21" s="15"/>
      <c r="I21" s="15"/>
      <c r="J21" s="25"/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9"/>
    </row>
    <row r="23" spans="1:10" ht="29" x14ac:dyDescent="0.35">
      <c r="A23" s="4">
        <v>75</v>
      </c>
      <c r="B23" s="11">
        <v>46038</v>
      </c>
      <c r="C23" s="4" t="s">
        <v>28</v>
      </c>
      <c r="D23" s="4" t="s">
        <v>11</v>
      </c>
      <c r="E23" s="4" t="s">
        <v>8</v>
      </c>
      <c r="F23" s="4" t="s">
        <v>12</v>
      </c>
      <c r="G23" s="4">
        <v>24000</v>
      </c>
      <c r="H23" s="4" t="s">
        <v>8</v>
      </c>
      <c r="I23" s="4" t="s">
        <v>27</v>
      </c>
      <c r="J23" s="24">
        <f>SUM(C24:I24)</f>
        <v>194000</v>
      </c>
    </row>
    <row r="24" spans="1:10" s="14" customFormat="1" x14ac:dyDescent="0.35">
      <c r="A24" s="15"/>
      <c r="B24" s="15"/>
      <c r="C24" s="15">
        <v>120000</v>
      </c>
      <c r="D24" s="15"/>
      <c r="E24" s="15"/>
      <c r="F24" s="15"/>
      <c r="G24" s="15">
        <v>24000</v>
      </c>
      <c r="H24" s="15"/>
      <c r="I24" s="15">
        <v>50000</v>
      </c>
      <c r="J24" s="25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/>
      <c r="J25" s="9"/>
    </row>
    <row r="26" spans="1:10" ht="29" x14ac:dyDescent="0.35">
      <c r="A26" s="7">
        <v>76</v>
      </c>
      <c r="B26" s="11">
        <v>46048</v>
      </c>
      <c r="C26" s="7" t="s">
        <v>33</v>
      </c>
      <c r="D26" s="7" t="s">
        <v>11</v>
      </c>
      <c r="E26" s="7" t="s">
        <v>8</v>
      </c>
      <c r="F26" s="7" t="s">
        <v>12</v>
      </c>
      <c r="G26" s="7">
        <v>4000</v>
      </c>
      <c r="H26" s="7" t="s">
        <v>8</v>
      </c>
      <c r="I26" s="7" t="s">
        <v>8</v>
      </c>
      <c r="J26" s="20">
        <f>SUM(C27:I27)</f>
        <v>84000</v>
      </c>
    </row>
    <row r="27" spans="1:10" x14ac:dyDescent="0.35">
      <c r="A27" s="7"/>
      <c r="B27" s="7"/>
      <c r="C27" s="7">
        <v>80000</v>
      </c>
      <c r="D27" s="7"/>
      <c r="E27" s="7"/>
      <c r="F27" s="7"/>
      <c r="G27" s="7">
        <v>4000</v>
      </c>
      <c r="H27" s="7"/>
      <c r="I27" s="7"/>
      <c r="J27" s="20"/>
    </row>
    <row r="28" spans="1:10" x14ac:dyDescent="0.35">
      <c r="A28" s="1"/>
      <c r="B28" s="1"/>
      <c r="C28" s="1"/>
      <c r="D28" s="1"/>
      <c r="E28" s="1"/>
      <c r="F28" s="1"/>
      <c r="G28" s="1"/>
      <c r="H28" s="1"/>
      <c r="I28" s="1"/>
      <c r="J28" s="9"/>
    </row>
    <row r="29" spans="1:10" ht="145" x14ac:dyDescent="0.35">
      <c r="A29" s="21">
        <v>77</v>
      </c>
      <c r="B29" s="11">
        <v>46051</v>
      </c>
      <c r="C29" s="7" t="s">
        <v>39</v>
      </c>
      <c r="D29" s="7" t="s">
        <v>11</v>
      </c>
      <c r="E29" s="7" t="s">
        <v>8</v>
      </c>
      <c r="F29" s="7" t="s">
        <v>8</v>
      </c>
      <c r="G29" s="7">
        <v>12000</v>
      </c>
      <c r="H29" s="6" t="s">
        <v>40</v>
      </c>
      <c r="I29" s="7" t="s">
        <v>27</v>
      </c>
      <c r="J29" s="20">
        <f>SUM(C30:I30)</f>
        <v>476000</v>
      </c>
    </row>
    <row r="30" spans="1:10" x14ac:dyDescent="0.35">
      <c r="A30" s="22"/>
      <c r="B30" s="7"/>
      <c r="C30" s="6">
        <f>39000+120000</f>
        <v>159000</v>
      </c>
      <c r="D30" s="7">
        <f>15000*3</f>
        <v>45000</v>
      </c>
      <c r="E30" s="7"/>
      <c r="F30" s="7"/>
      <c r="G30" s="7">
        <v>12000</v>
      </c>
      <c r="H30" s="7">
        <v>210000</v>
      </c>
      <c r="I30" s="7">
        <v>50000</v>
      </c>
      <c r="J30" s="20"/>
    </row>
    <row r="31" spans="1:10" ht="87" x14ac:dyDescent="0.35">
      <c r="A31" s="22"/>
      <c r="B31" s="11">
        <v>46052</v>
      </c>
      <c r="C31" s="7" t="s">
        <v>37</v>
      </c>
      <c r="D31" s="7" t="s">
        <v>11</v>
      </c>
      <c r="E31" s="7" t="s">
        <v>8</v>
      </c>
      <c r="F31" s="7" t="s">
        <v>8</v>
      </c>
      <c r="G31" s="6">
        <v>12000</v>
      </c>
      <c r="H31" s="6">
        <v>90000</v>
      </c>
      <c r="I31" s="7" t="s">
        <v>38</v>
      </c>
      <c r="J31" s="20">
        <f>SUM(C32:I32)</f>
        <v>862000</v>
      </c>
    </row>
    <row r="32" spans="1:10" x14ac:dyDescent="0.35">
      <c r="A32" s="23"/>
      <c r="B32" s="7"/>
      <c r="C32" s="7">
        <f>(340000*2)+30000</f>
        <v>710000</v>
      </c>
      <c r="D32" s="7"/>
      <c r="E32" s="7"/>
      <c r="F32" s="7"/>
      <c r="G32" s="7">
        <v>12000</v>
      </c>
      <c r="H32" s="7">
        <v>90000</v>
      </c>
      <c r="I32" s="7">
        <v>50000</v>
      </c>
      <c r="J32" s="20"/>
    </row>
    <row r="33" spans="1:10" x14ac:dyDescent="0.35">
      <c r="A33" s="1"/>
      <c r="B33" s="1"/>
      <c r="C33" s="1"/>
      <c r="D33" s="1"/>
      <c r="E33" s="1"/>
      <c r="F33" s="1"/>
      <c r="G33" s="1"/>
      <c r="H33" s="1"/>
      <c r="I33" s="1"/>
      <c r="J33" s="9"/>
    </row>
    <row r="34" spans="1:10" x14ac:dyDescent="0.35">
      <c r="A34" s="1"/>
      <c r="B34" s="1"/>
      <c r="C34" s="1"/>
      <c r="D34" s="1"/>
      <c r="E34" s="1"/>
      <c r="F34" s="1"/>
      <c r="G34" s="1"/>
      <c r="H34" s="1"/>
      <c r="I34" s="1"/>
      <c r="J34" s="9"/>
    </row>
    <row r="35" spans="1:10" x14ac:dyDescent="0.35">
      <c r="A35" s="1"/>
      <c r="B35" s="1"/>
      <c r="C35" s="1"/>
      <c r="D35" s="1"/>
      <c r="E35" s="1"/>
      <c r="F35" s="1"/>
      <c r="G35" s="1"/>
      <c r="H35" s="1"/>
      <c r="I35" s="1"/>
      <c r="J35" s="9"/>
    </row>
    <row r="36" spans="1:10" x14ac:dyDescent="0.35">
      <c r="A36" s="1"/>
      <c r="B36" s="1"/>
      <c r="C36" s="1"/>
      <c r="D36" s="1"/>
      <c r="E36" s="1"/>
      <c r="F36" s="1"/>
      <c r="G36" s="1"/>
      <c r="H36" s="1"/>
      <c r="I36" s="1"/>
      <c r="J36" s="9"/>
    </row>
    <row r="37" spans="1:10" x14ac:dyDescent="0.35">
      <c r="A37" s="1"/>
      <c r="B37" s="1"/>
      <c r="C37" s="1"/>
      <c r="D37" s="1"/>
      <c r="E37" s="1"/>
      <c r="F37" s="1"/>
      <c r="G37" s="1"/>
      <c r="H37" s="1"/>
      <c r="I37" s="1"/>
      <c r="J37" s="9"/>
    </row>
    <row r="38" spans="1:10" x14ac:dyDescent="0.35">
      <c r="I38" s="2" t="s">
        <v>7</v>
      </c>
      <c r="J38" s="13">
        <f>SUM(J2:J37)</f>
        <v>4016500</v>
      </c>
    </row>
  </sheetData>
  <mergeCells count="13">
    <mergeCell ref="J29:J30"/>
    <mergeCell ref="J31:J32"/>
    <mergeCell ref="A29:A32"/>
    <mergeCell ref="J3:J4"/>
    <mergeCell ref="J6:J7"/>
    <mergeCell ref="J9:J10"/>
    <mergeCell ref="J20:J21"/>
    <mergeCell ref="J26:J27"/>
    <mergeCell ref="J23:J24"/>
    <mergeCell ref="A16:A17"/>
    <mergeCell ref="A12:A13"/>
    <mergeCell ref="J12:J14"/>
    <mergeCell ref="J16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2025-07-16T13:36:53Z</dcterms:created>
  <dcterms:modified xsi:type="dcterms:W3CDTF">2026-03-01T17:48:14Z</dcterms:modified>
</cp:coreProperties>
</file>